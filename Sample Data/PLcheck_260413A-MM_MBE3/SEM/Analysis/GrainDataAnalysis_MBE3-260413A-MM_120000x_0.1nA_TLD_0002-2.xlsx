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pennstateoffice365.sharepoint.com/sites/Lawlab/Shared Documents/General/Molly/In(Ga)Sb SAQDs/Sample Data/260413A-MM_MBE3/SEM/Analysis/"/>
    </mc:Choice>
  </mc:AlternateContent>
  <xr:revisionPtr revIDLastSave="40" documentId="11_3E49E0736C010A633ECD0C41F10E9478C8C00778" xr6:coauthVersionLast="47" xr6:coauthVersionMax="47" xr10:uidLastSave="{59C83CB4-76F1-4240-B491-E3E1B1809753}"/>
  <bookViews>
    <workbookView xWindow="-28920" yWindow="-120" windowWidth="29040" windowHeight="15720" activeTab="1" xr2:uid="{00000000-000D-0000-FFFF-FFFF00000000}"/>
  </bookViews>
  <sheets>
    <sheet name="RawGrainData_MBE3-260413A-MM" sheetId="1" r:id="rId1"/>
    <sheet name="FilterGrainData_MBE3260413AM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K3" i="2" s="1"/>
  <c r="J4" i="2"/>
  <c r="K4" i="2" s="1"/>
  <c r="J5" i="2"/>
  <c r="K5" i="2"/>
  <c r="J6" i="2"/>
  <c r="K6" i="2"/>
  <c r="J7" i="2"/>
  <c r="K7" i="2"/>
  <c r="J8" i="2"/>
  <c r="K8" i="2" s="1"/>
  <c r="J9" i="2"/>
  <c r="K9" i="2"/>
  <c r="J10" i="2"/>
  <c r="K10" i="2"/>
  <c r="J11" i="2"/>
  <c r="K11" i="2"/>
  <c r="J12" i="2"/>
  <c r="K12" i="2"/>
  <c r="J13" i="2"/>
  <c r="K13" i="2" s="1"/>
  <c r="J14" i="2"/>
  <c r="K14" i="2" s="1"/>
  <c r="J15" i="2"/>
  <c r="K15" i="2"/>
  <c r="J16" i="2"/>
  <c r="K16" i="2"/>
  <c r="J17" i="2"/>
  <c r="K17" i="2"/>
  <c r="J18" i="2"/>
  <c r="K18" i="2" s="1"/>
  <c r="J19" i="2"/>
  <c r="K19" i="2"/>
  <c r="J20" i="2"/>
  <c r="K20" i="2"/>
  <c r="J21" i="2"/>
  <c r="K21" i="2"/>
  <c r="J22" i="2"/>
  <c r="K22" i="2"/>
  <c r="J23" i="2"/>
  <c r="K23" i="2" s="1"/>
  <c r="J24" i="2"/>
  <c r="K24" i="2" s="1"/>
  <c r="J25" i="2"/>
  <c r="K25" i="2"/>
  <c r="J26" i="2"/>
  <c r="K26" i="2"/>
  <c r="J27" i="2"/>
  <c r="K27" i="2"/>
  <c r="J28" i="2"/>
  <c r="K28" i="2" s="1"/>
  <c r="J29" i="2"/>
  <c r="K29" i="2"/>
  <c r="J30" i="2"/>
  <c r="K30" i="2"/>
  <c r="J31" i="2"/>
  <c r="K31" i="2"/>
  <c r="J32" i="2"/>
  <c r="K32" i="2"/>
  <c r="J33" i="2"/>
  <c r="K33" i="2" s="1"/>
  <c r="J34" i="2"/>
  <c r="K34" i="2" s="1"/>
  <c r="J35" i="2"/>
  <c r="K35" i="2"/>
  <c r="J36" i="2"/>
  <c r="K36" i="2"/>
  <c r="J37" i="2"/>
  <c r="K37" i="2"/>
  <c r="J38" i="2"/>
  <c r="K38" i="2" s="1"/>
  <c r="J39" i="2"/>
  <c r="K39" i="2"/>
  <c r="J40" i="2"/>
  <c r="K40" i="2"/>
  <c r="J41" i="2"/>
  <c r="K41" i="2"/>
  <c r="J42" i="2"/>
  <c r="K42" i="2"/>
  <c r="J43" i="2"/>
  <c r="K43" i="2" s="1"/>
  <c r="J44" i="2"/>
  <c r="K44" i="2" s="1"/>
  <c r="J45" i="2"/>
  <c r="K45" i="2"/>
  <c r="J46" i="2"/>
  <c r="K46" i="2"/>
  <c r="J47" i="2"/>
  <c r="K47" i="2"/>
  <c r="J48" i="2"/>
  <c r="K48" i="2" s="1"/>
  <c r="J49" i="2"/>
  <c r="K49" i="2"/>
  <c r="J50" i="2"/>
  <c r="K50" i="2"/>
  <c r="J51" i="2"/>
  <c r="K51" i="2"/>
  <c r="J52" i="2"/>
  <c r="K52" i="2"/>
  <c r="J53" i="2"/>
  <c r="K53" i="2" s="1"/>
  <c r="J54" i="2"/>
  <c r="K54" i="2" s="1"/>
  <c r="J55" i="2"/>
  <c r="K55" i="2"/>
  <c r="J56" i="2"/>
  <c r="K56" i="2"/>
  <c r="J57" i="2"/>
  <c r="K57" i="2"/>
  <c r="J58" i="2"/>
  <c r="K58" i="2" s="1"/>
  <c r="J59" i="2"/>
  <c r="K59" i="2"/>
  <c r="J60" i="2"/>
  <c r="K60" i="2"/>
  <c r="J61" i="2"/>
  <c r="K61" i="2"/>
  <c r="J62" i="2"/>
  <c r="K62" i="2"/>
  <c r="J63" i="2"/>
  <c r="K63" i="2" s="1"/>
  <c r="J64" i="2"/>
  <c r="K64" i="2" s="1"/>
  <c r="J65" i="2"/>
  <c r="K65" i="2"/>
  <c r="J66" i="2"/>
  <c r="K66" i="2"/>
  <c r="J67" i="2"/>
  <c r="K67" i="2"/>
  <c r="J68" i="2"/>
  <c r="K68" i="2" s="1"/>
  <c r="J69" i="2"/>
  <c r="K69" i="2"/>
  <c r="J70" i="2"/>
  <c r="K70" i="2"/>
  <c r="J71" i="2"/>
  <c r="K71" i="2"/>
  <c r="J72" i="2"/>
  <c r="K72" i="2"/>
  <c r="J73" i="2"/>
  <c r="K73" i="2" s="1"/>
  <c r="J74" i="2"/>
  <c r="K74" i="2" s="1"/>
  <c r="J75" i="2"/>
  <c r="K75" i="2"/>
  <c r="J76" i="2"/>
  <c r="K76" i="2"/>
  <c r="J77" i="2"/>
  <c r="K77" i="2"/>
  <c r="J78" i="2"/>
  <c r="K78" i="2" s="1"/>
  <c r="J79" i="2"/>
  <c r="K79" i="2"/>
  <c r="J80" i="2"/>
  <c r="K80" i="2"/>
  <c r="J81" i="2"/>
  <c r="K81" i="2"/>
  <c r="J82" i="2"/>
  <c r="K82" i="2"/>
  <c r="J83" i="2"/>
  <c r="K83" i="2" s="1"/>
  <c r="J84" i="2"/>
  <c r="K84" i="2" s="1"/>
  <c r="J85" i="2"/>
  <c r="K85" i="2"/>
  <c r="J86" i="2"/>
  <c r="K86" i="2"/>
  <c r="J87" i="2"/>
  <c r="K87" i="2"/>
  <c r="J88" i="2"/>
  <c r="K88" i="2" s="1"/>
  <c r="J89" i="2"/>
  <c r="K89" i="2"/>
  <c r="J90" i="2"/>
  <c r="K90" i="2"/>
  <c r="J91" i="2"/>
  <c r="J148" i="2" s="1"/>
  <c r="K91" i="2"/>
  <c r="J92" i="2"/>
  <c r="K92" i="2"/>
  <c r="J93" i="2"/>
  <c r="K93" i="2" s="1"/>
  <c r="J94" i="2"/>
  <c r="K94" i="2" s="1"/>
  <c r="J95" i="2"/>
  <c r="K95" i="2"/>
  <c r="J96" i="2"/>
  <c r="K96" i="2"/>
  <c r="J97" i="2"/>
  <c r="K97" i="2"/>
  <c r="J98" i="2"/>
  <c r="K98" i="2" s="1"/>
  <c r="J99" i="2"/>
  <c r="K99" i="2"/>
  <c r="J100" i="2"/>
  <c r="K100" i="2"/>
  <c r="J101" i="2"/>
  <c r="K101" i="2"/>
  <c r="J102" i="2"/>
  <c r="K102" i="2"/>
  <c r="J103" i="2"/>
  <c r="K103" i="2" s="1"/>
  <c r="J104" i="2"/>
  <c r="K104" i="2" s="1"/>
  <c r="J105" i="2"/>
  <c r="K105" i="2"/>
  <c r="J106" i="2"/>
  <c r="K106" i="2"/>
  <c r="J107" i="2"/>
  <c r="K107" i="2"/>
  <c r="J108" i="2"/>
  <c r="K108" i="2" s="1"/>
  <c r="J109" i="2"/>
  <c r="K109" i="2"/>
  <c r="J110" i="2"/>
  <c r="K110" i="2"/>
  <c r="J111" i="2"/>
  <c r="K111" i="2"/>
  <c r="J112" i="2"/>
  <c r="K112" i="2"/>
  <c r="J113" i="2"/>
  <c r="K113" i="2" s="1"/>
  <c r="J114" i="2"/>
  <c r="K114" i="2" s="1"/>
  <c r="J115" i="2"/>
  <c r="K115" i="2"/>
  <c r="J116" i="2"/>
  <c r="K116" i="2"/>
  <c r="J117" i="2"/>
  <c r="K117" i="2"/>
  <c r="J118" i="2"/>
  <c r="K118" i="2" s="1"/>
  <c r="J119" i="2"/>
  <c r="K119" i="2"/>
  <c r="J120" i="2"/>
  <c r="K120" i="2"/>
  <c r="J121" i="2"/>
  <c r="K121" i="2"/>
  <c r="J122" i="2"/>
  <c r="K122" i="2"/>
  <c r="J123" i="2"/>
  <c r="K123" i="2" s="1"/>
  <c r="J124" i="2"/>
  <c r="K124" i="2" s="1"/>
  <c r="J125" i="2"/>
  <c r="K125" i="2"/>
  <c r="J126" i="2"/>
  <c r="K126" i="2"/>
  <c r="J127" i="2"/>
  <c r="K127" i="2"/>
  <c r="J128" i="2"/>
  <c r="K128" i="2" s="1"/>
  <c r="J129" i="2"/>
  <c r="K129" i="2"/>
  <c r="J130" i="2"/>
  <c r="K130" i="2"/>
  <c r="J131" i="2"/>
  <c r="K131" i="2"/>
  <c r="J132" i="2"/>
  <c r="K132" i="2"/>
  <c r="J133" i="2"/>
  <c r="K133" i="2" s="1"/>
  <c r="J134" i="2"/>
  <c r="K134" i="2" s="1"/>
  <c r="J135" i="2"/>
  <c r="K135" i="2"/>
  <c r="J136" i="2"/>
  <c r="K136" i="2"/>
  <c r="J137" i="2"/>
  <c r="K137" i="2"/>
  <c r="J138" i="2"/>
  <c r="K138" i="2" s="1"/>
  <c r="J139" i="2"/>
  <c r="K139" i="2"/>
  <c r="J140" i="2"/>
  <c r="K140" i="2"/>
  <c r="J141" i="2"/>
  <c r="K141" i="2"/>
  <c r="J142" i="2"/>
  <c r="K142" i="2"/>
  <c r="J143" i="2"/>
  <c r="K143" i="2" s="1"/>
  <c r="J144" i="2"/>
  <c r="K144" i="2" s="1"/>
  <c r="J145" i="2"/>
  <c r="K145" i="2"/>
  <c r="J146" i="2"/>
  <c r="K146" i="2"/>
  <c r="J147" i="2"/>
  <c r="K147" i="2"/>
  <c r="K2" i="2"/>
  <c r="J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149" i="2" s="1"/>
  <c r="H94" i="2"/>
  <c r="H95" i="2"/>
  <c r="H148" i="2" s="1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2" i="2"/>
  <c r="J149" i="2"/>
  <c r="K148" i="2" l="1"/>
  <c r="K149" i="2"/>
</calcChain>
</file>

<file path=xl/sharedStrings.xml><?xml version="1.0" encoding="utf-8"?>
<sst xmlns="http://schemas.openxmlformats.org/spreadsheetml/2006/main" count="45" uniqueCount="25">
  <si>
    <t xml:space="preserve"> </t>
  </si>
  <si>
    <t>Area</t>
  </si>
  <si>
    <t>StdDev</t>
  </si>
  <si>
    <t>Perim.</t>
  </si>
  <si>
    <t>BX</t>
  </si>
  <si>
    <t>BY</t>
  </si>
  <si>
    <t>Width</t>
  </si>
  <si>
    <t>Height</t>
  </si>
  <si>
    <t>Major</t>
  </si>
  <si>
    <t>Minor</t>
  </si>
  <si>
    <t>Angle</t>
  </si>
  <si>
    <t>Circ.</t>
  </si>
  <si>
    <t>Feret</t>
  </si>
  <si>
    <t>FeretX</t>
  </si>
  <si>
    <t>FeretY</t>
  </si>
  <si>
    <t>FeretAngle</t>
  </si>
  <si>
    <t>MinFeret</t>
  </si>
  <si>
    <t>AR</t>
  </si>
  <si>
    <t>Round</t>
  </si>
  <si>
    <t>Solidity</t>
  </si>
  <si>
    <t>Average</t>
  </si>
  <si>
    <t>Standard Deviation</t>
  </si>
  <si>
    <t>Width (nm)</t>
  </si>
  <si>
    <t>Height (nm)</t>
  </si>
  <si>
    <t>Width/Height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</si>
</sst>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1"/>
  <sheetViews>
    <sheetView topLeftCell="A131" workbookViewId="0">
      <selection activeCell="A145" sqref="A145:XFD145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>
        <v>1.1000000000000001E-3</v>
      </c>
      <c r="C2">
        <v>0</v>
      </c>
      <c r="D2">
        <v>0.19040000000000001</v>
      </c>
      <c r="E2">
        <v>1.1978</v>
      </c>
      <c r="F2">
        <v>2.2000000000000001E-3</v>
      </c>
      <c r="G2">
        <v>8.5400000000000004E-2</v>
      </c>
      <c r="H2">
        <v>1.5699999999999999E-2</v>
      </c>
      <c r="I2">
        <v>9.2399999999999996E-2</v>
      </c>
      <c r="J2">
        <v>1.4999999999999999E-2</v>
      </c>
      <c r="K2">
        <v>177.37280000000001</v>
      </c>
      <c r="L2">
        <v>0.37640000000000001</v>
      </c>
      <c r="M2">
        <v>8.6499999999999994E-2</v>
      </c>
      <c r="N2">
        <v>533</v>
      </c>
      <c r="O2">
        <v>1</v>
      </c>
      <c r="P2">
        <v>171.0274</v>
      </c>
      <c r="Q2">
        <v>1.5699999999999999E-2</v>
      </c>
      <c r="R2">
        <v>6.1749999999999998</v>
      </c>
      <c r="S2">
        <v>0.16189999999999999</v>
      </c>
      <c r="T2">
        <v>0.93069999999999997</v>
      </c>
    </row>
    <row r="3" spans="1:20" x14ac:dyDescent="0.25">
      <c r="A3">
        <v>2</v>
      </c>
      <c r="B3">
        <v>1.6000000000000001E-3</v>
      </c>
      <c r="C3">
        <v>0</v>
      </c>
      <c r="D3">
        <v>0.155</v>
      </c>
      <c r="E3">
        <v>1.9146000000000001</v>
      </c>
      <c r="F3">
        <v>2.2000000000000001E-3</v>
      </c>
      <c r="G3">
        <v>5.1700000000000003E-2</v>
      </c>
      <c r="H3">
        <v>3.3700000000000001E-2</v>
      </c>
      <c r="I3">
        <v>5.4899999999999997E-2</v>
      </c>
      <c r="J3">
        <v>3.7499999999999999E-2</v>
      </c>
      <c r="K3">
        <v>3.3662000000000001</v>
      </c>
      <c r="L3">
        <v>0.84530000000000005</v>
      </c>
      <c r="M3">
        <v>5.7299999999999997E-2</v>
      </c>
      <c r="N3">
        <v>852</v>
      </c>
      <c r="O3">
        <v>14</v>
      </c>
      <c r="P3">
        <v>25.56</v>
      </c>
      <c r="Q3">
        <v>3.3700000000000001E-2</v>
      </c>
      <c r="R3">
        <v>1.4626999999999999</v>
      </c>
      <c r="S3">
        <v>0.68369999999999997</v>
      </c>
      <c r="T3">
        <v>0.96970000000000001</v>
      </c>
    </row>
    <row r="4" spans="1:20" x14ac:dyDescent="0.25">
      <c r="A4">
        <v>3</v>
      </c>
      <c r="B4">
        <v>2E-3</v>
      </c>
      <c r="C4">
        <v>0</v>
      </c>
      <c r="D4">
        <v>0.16880000000000001</v>
      </c>
      <c r="E4">
        <v>3.1955</v>
      </c>
      <c r="F4">
        <v>2.92E-2</v>
      </c>
      <c r="G4">
        <v>4.9399999999999999E-2</v>
      </c>
      <c r="H4">
        <v>4.9399999999999999E-2</v>
      </c>
      <c r="I4">
        <v>5.1799999999999999E-2</v>
      </c>
      <c r="J4">
        <v>5.0099999999999999E-2</v>
      </c>
      <c r="K4">
        <v>49.908999999999999</v>
      </c>
      <c r="L4">
        <v>0.89759999999999995</v>
      </c>
      <c r="M4">
        <v>5.8599999999999999E-2</v>
      </c>
      <c r="N4">
        <v>1422</v>
      </c>
      <c r="O4">
        <v>32</v>
      </c>
      <c r="P4">
        <v>32.471200000000003</v>
      </c>
      <c r="Q4">
        <v>4.9399999999999999E-2</v>
      </c>
      <c r="R4">
        <v>1.0341</v>
      </c>
      <c r="S4">
        <v>0.96709999999999996</v>
      </c>
      <c r="T4">
        <v>0.94599999999999995</v>
      </c>
    </row>
    <row r="5" spans="1:20" x14ac:dyDescent="0.25">
      <c r="A5">
        <v>4</v>
      </c>
      <c r="B5">
        <v>2.0999999999999999E-3</v>
      </c>
      <c r="C5">
        <v>0</v>
      </c>
      <c r="D5">
        <v>0.1701</v>
      </c>
      <c r="E5">
        <v>1.5079</v>
      </c>
      <c r="F5">
        <v>3.8199999999999998E-2</v>
      </c>
      <c r="G5">
        <v>5.3900000000000003E-2</v>
      </c>
      <c r="H5">
        <v>4.4900000000000002E-2</v>
      </c>
      <c r="I5">
        <v>5.7000000000000002E-2</v>
      </c>
      <c r="J5">
        <v>4.6899999999999997E-2</v>
      </c>
      <c r="K5">
        <v>162.50290000000001</v>
      </c>
      <c r="L5">
        <v>0.9123</v>
      </c>
      <c r="M5">
        <v>6.1100000000000002E-2</v>
      </c>
      <c r="N5">
        <v>672</v>
      </c>
      <c r="O5">
        <v>19</v>
      </c>
      <c r="P5">
        <v>143.9726</v>
      </c>
      <c r="Q5">
        <v>4.4900000000000002E-2</v>
      </c>
      <c r="R5">
        <v>1.2166999999999999</v>
      </c>
      <c r="S5">
        <v>0.82189999999999996</v>
      </c>
      <c r="T5">
        <v>0.95960000000000001</v>
      </c>
    </row>
    <row r="6" spans="1:20" x14ac:dyDescent="0.25">
      <c r="A6">
        <v>5</v>
      </c>
      <c r="B6">
        <v>5.4999999999999997E-3</v>
      </c>
      <c r="C6">
        <v>0</v>
      </c>
      <c r="D6">
        <v>0.28039999999999998</v>
      </c>
      <c r="E6">
        <v>9.4399999999999998E-2</v>
      </c>
      <c r="F6">
        <v>7.8700000000000006E-2</v>
      </c>
      <c r="G6">
        <v>8.09E-2</v>
      </c>
      <c r="H6">
        <v>7.6399999999999996E-2</v>
      </c>
      <c r="I6">
        <v>8.5300000000000001E-2</v>
      </c>
      <c r="J6">
        <v>8.2000000000000003E-2</v>
      </c>
      <c r="K6">
        <v>12.0549</v>
      </c>
      <c r="L6">
        <v>0.87829999999999997</v>
      </c>
      <c r="M6">
        <v>9.6699999999999994E-2</v>
      </c>
      <c r="N6">
        <v>43</v>
      </c>
      <c r="O6">
        <v>64</v>
      </c>
      <c r="P6">
        <v>35.537700000000001</v>
      </c>
      <c r="Q6">
        <v>7.6399999999999996E-2</v>
      </c>
      <c r="R6">
        <v>1.0408999999999999</v>
      </c>
      <c r="S6">
        <v>0.9607</v>
      </c>
      <c r="T6">
        <v>0.96630000000000005</v>
      </c>
    </row>
    <row r="7" spans="1:20" x14ac:dyDescent="0.25">
      <c r="A7">
        <v>6</v>
      </c>
      <c r="B7">
        <v>1.8E-3</v>
      </c>
      <c r="C7">
        <v>0</v>
      </c>
      <c r="D7">
        <v>0.15790000000000001</v>
      </c>
      <c r="E7">
        <v>0.67869999999999997</v>
      </c>
      <c r="F7">
        <v>7.8700000000000006E-2</v>
      </c>
      <c r="G7">
        <v>4.9399999999999999E-2</v>
      </c>
      <c r="H7">
        <v>4.2700000000000002E-2</v>
      </c>
      <c r="I7">
        <v>5.0599999999999999E-2</v>
      </c>
      <c r="J7">
        <v>4.4499999999999998E-2</v>
      </c>
      <c r="K7">
        <v>8.4617000000000004</v>
      </c>
      <c r="L7">
        <v>0.89039999999999997</v>
      </c>
      <c r="M7">
        <v>5.4899999999999997E-2</v>
      </c>
      <c r="N7">
        <v>303</v>
      </c>
      <c r="O7">
        <v>52</v>
      </c>
      <c r="P7">
        <v>34.991999999999997</v>
      </c>
      <c r="Q7">
        <v>4.2700000000000002E-2</v>
      </c>
      <c r="R7">
        <v>1.1356999999999999</v>
      </c>
      <c r="S7">
        <v>0.88049999999999995</v>
      </c>
      <c r="T7">
        <v>0.94210000000000005</v>
      </c>
    </row>
    <row r="8" spans="1:20" x14ac:dyDescent="0.25">
      <c r="A8">
        <v>7</v>
      </c>
      <c r="B8">
        <v>1.1999999999999999E-3</v>
      </c>
      <c r="C8">
        <v>0</v>
      </c>
      <c r="D8">
        <v>0.14599999999999999</v>
      </c>
      <c r="E8">
        <v>2.2000000000000001E-3</v>
      </c>
      <c r="F8">
        <v>8.09E-2</v>
      </c>
      <c r="G8">
        <v>2.7E-2</v>
      </c>
      <c r="H8">
        <v>5.3900000000000003E-2</v>
      </c>
      <c r="I8">
        <v>5.9400000000000001E-2</v>
      </c>
      <c r="J8">
        <v>2.6599999999999999E-2</v>
      </c>
      <c r="K8">
        <v>87.4435</v>
      </c>
      <c r="L8">
        <v>0.73229999999999995</v>
      </c>
      <c r="M8">
        <v>5.6800000000000003E-2</v>
      </c>
      <c r="N8">
        <v>1</v>
      </c>
      <c r="O8">
        <v>36</v>
      </c>
      <c r="P8">
        <v>108.4349</v>
      </c>
      <c r="Q8">
        <v>2.7E-2</v>
      </c>
      <c r="R8">
        <v>2.2309000000000001</v>
      </c>
      <c r="S8">
        <v>0.44819999999999999</v>
      </c>
      <c r="T8">
        <v>0.95350000000000001</v>
      </c>
    </row>
    <row r="9" spans="1:20" x14ac:dyDescent="0.25">
      <c r="A9">
        <v>8</v>
      </c>
      <c r="B9">
        <v>2.8999999999999998E-3</v>
      </c>
      <c r="C9">
        <v>0</v>
      </c>
      <c r="D9">
        <v>0.19889999999999999</v>
      </c>
      <c r="E9">
        <v>3.0539000000000001</v>
      </c>
      <c r="F9">
        <v>9.6600000000000005E-2</v>
      </c>
      <c r="G9">
        <v>5.62E-2</v>
      </c>
      <c r="H9">
        <v>5.8400000000000001E-2</v>
      </c>
      <c r="I9">
        <v>6.3600000000000004E-2</v>
      </c>
      <c r="J9">
        <v>5.7500000000000002E-2</v>
      </c>
      <c r="K9">
        <v>61.539400000000001</v>
      </c>
      <c r="L9">
        <v>0.91239999999999999</v>
      </c>
      <c r="M9">
        <v>7.0599999999999996E-2</v>
      </c>
      <c r="N9">
        <v>1359</v>
      </c>
      <c r="O9">
        <v>65</v>
      </c>
      <c r="P9">
        <v>37.2348</v>
      </c>
      <c r="Q9">
        <v>5.57E-2</v>
      </c>
      <c r="R9">
        <v>1.107</v>
      </c>
      <c r="S9">
        <v>0.90339999999999998</v>
      </c>
      <c r="T9">
        <v>0.96279999999999999</v>
      </c>
    </row>
    <row r="10" spans="1:20" x14ac:dyDescent="0.25">
      <c r="A10">
        <v>9</v>
      </c>
      <c r="B10">
        <v>2.5000000000000001E-3</v>
      </c>
      <c r="C10">
        <v>0</v>
      </c>
      <c r="D10">
        <v>0.20230000000000001</v>
      </c>
      <c r="E10">
        <v>1.3236000000000001</v>
      </c>
      <c r="F10">
        <v>0.1011</v>
      </c>
      <c r="G10">
        <v>6.2899999999999998E-2</v>
      </c>
      <c r="H10">
        <v>4.4900000000000002E-2</v>
      </c>
      <c r="I10">
        <v>6.7199999999999996E-2</v>
      </c>
      <c r="J10">
        <v>4.7100000000000003E-2</v>
      </c>
      <c r="K10">
        <v>179.7946</v>
      </c>
      <c r="L10">
        <v>0.76259999999999994</v>
      </c>
      <c r="M10">
        <v>7.3599999999999999E-2</v>
      </c>
      <c r="N10">
        <v>589</v>
      </c>
      <c r="O10">
        <v>64</v>
      </c>
      <c r="P10">
        <v>31.2637</v>
      </c>
      <c r="Q10">
        <v>4.4900000000000002E-2</v>
      </c>
      <c r="R10">
        <v>1.4280999999999999</v>
      </c>
      <c r="S10">
        <v>0.70020000000000004</v>
      </c>
      <c r="T10">
        <v>0.92920000000000003</v>
      </c>
    </row>
    <row r="11" spans="1:20" x14ac:dyDescent="0.25">
      <c r="A11">
        <v>10</v>
      </c>
      <c r="B11">
        <v>2E-3</v>
      </c>
      <c r="C11">
        <v>0</v>
      </c>
      <c r="D11">
        <v>0.16689999999999999</v>
      </c>
      <c r="E11">
        <v>2.0607000000000002</v>
      </c>
      <c r="F11">
        <v>0.13930000000000001</v>
      </c>
      <c r="G11">
        <v>5.3900000000000003E-2</v>
      </c>
      <c r="H11">
        <v>4.2700000000000002E-2</v>
      </c>
      <c r="I11">
        <v>5.6599999999999998E-2</v>
      </c>
      <c r="J11">
        <v>4.5699999999999998E-2</v>
      </c>
      <c r="K11">
        <v>175.8021</v>
      </c>
      <c r="L11">
        <v>0.91549999999999998</v>
      </c>
      <c r="M11">
        <v>5.8599999999999999E-2</v>
      </c>
      <c r="N11">
        <v>918</v>
      </c>
      <c r="O11">
        <v>64</v>
      </c>
      <c r="P11">
        <v>147.52879999999999</v>
      </c>
      <c r="Q11">
        <v>4.2700000000000002E-2</v>
      </c>
      <c r="R11">
        <v>1.2373000000000001</v>
      </c>
      <c r="S11">
        <v>0.80820000000000003</v>
      </c>
      <c r="T11">
        <v>0.9617</v>
      </c>
    </row>
    <row r="12" spans="1:20" x14ac:dyDescent="0.25">
      <c r="A12">
        <v>11</v>
      </c>
      <c r="B12">
        <v>8.0000000000000004E-4</v>
      </c>
      <c r="C12">
        <v>0</v>
      </c>
      <c r="D12">
        <v>0.1066</v>
      </c>
      <c r="E12">
        <v>1.7236</v>
      </c>
      <c r="F12">
        <v>0.15279999999999999</v>
      </c>
      <c r="G12">
        <v>2.92E-2</v>
      </c>
      <c r="H12">
        <v>3.3700000000000001E-2</v>
      </c>
      <c r="I12">
        <v>3.4000000000000002E-2</v>
      </c>
      <c r="J12">
        <v>2.8400000000000002E-2</v>
      </c>
      <c r="K12">
        <v>110.4036</v>
      </c>
      <c r="L12">
        <v>0.83699999999999997</v>
      </c>
      <c r="M12">
        <v>3.8699999999999998E-2</v>
      </c>
      <c r="N12">
        <v>768</v>
      </c>
      <c r="O12">
        <v>69</v>
      </c>
      <c r="P12">
        <v>125.5377</v>
      </c>
      <c r="Q12">
        <v>2.92E-2</v>
      </c>
      <c r="R12">
        <v>1.1959</v>
      </c>
      <c r="S12">
        <v>0.83620000000000005</v>
      </c>
      <c r="T12">
        <v>0.90090000000000003</v>
      </c>
    </row>
    <row r="13" spans="1:20" x14ac:dyDescent="0.25">
      <c r="A13">
        <v>12</v>
      </c>
      <c r="B13">
        <v>1.5E-3</v>
      </c>
      <c r="C13">
        <v>0</v>
      </c>
      <c r="D13">
        <v>0.14949999999999999</v>
      </c>
      <c r="E13">
        <v>0.96399999999999997</v>
      </c>
      <c r="F13">
        <v>0.17080000000000001</v>
      </c>
      <c r="G13">
        <v>5.3900000000000003E-2</v>
      </c>
      <c r="H13">
        <v>3.5999999999999997E-2</v>
      </c>
      <c r="I13">
        <v>5.5199999999999999E-2</v>
      </c>
      <c r="J13">
        <v>3.5200000000000002E-2</v>
      </c>
      <c r="K13">
        <v>166.20320000000001</v>
      </c>
      <c r="L13">
        <v>0.85750000000000004</v>
      </c>
      <c r="M13">
        <v>5.5599999999999997E-2</v>
      </c>
      <c r="N13">
        <v>429</v>
      </c>
      <c r="O13">
        <v>82</v>
      </c>
      <c r="P13">
        <v>165.96379999999999</v>
      </c>
      <c r="Q13">
        <v>3.5000000000000003E-2</v>
      </c>
      <c r="R13">
        <v>1.5702</v>
      </c>
      <c r="S13">
        <v>0.63690000000000002</v>
      </c>
      <c r="T13">
        <v>0.93210000000000004</v>
      </c>
    </row>
    <row r="14" spans="1:20" x14ac:dyDescent="0.25">
      <c r="A14">
        <v>13</v>
      </c>
      <c r="B14">
        <v>6.7999999999999996E-3</v>
      </c>
      <c r="C14">
        <v>0</v>
      </c>
      <c r="D14">
        <v>0.31419999999999998</v>
      </c>
      <c r="E14">
        <v>2.6674000000000002</v>
      </c>
      <c r="F14">
        <v>0.1888</v>
      </c>
      <c r="G14">
        <v>9.2100000000000001E-2</v>
      </c>
      <c r="H14">
        <v>8.5400000000000004E-2</v>
      </c>
      <c r="I14">
        <v>9.9000000000000005E-2</v>
      </c>
      <c r="J14">
        <v>8.7400000000000005E-2</v>
      </c>
      <c r="K14">
        <v>155.2953</v>
      </c>
      <c r="L14">
        <v>0.86429999999999996</v>
      </c>
      <c r="M14">
        <v>0.1113</v>
      </c>
      <c r="N14">
        <v>1190</v>
      </c>
      <c r="O14">
        <v>85</v>
      </c>
      <c r="P14">
        <v>133.36340000000001</v>
      </c>
      <c r="Q14">
        <v>8.3199999999999996E-2</v>
      </c>
      <c r="R14">
        <v>1.1333</v>
      </c>
      <c r="S14">
        <v>0.88239999999999996</v>
      </c>
      <c r="T14">
        <v>0.96450000000000002</v>
      </c>
    </row>
    <row r="15" spans="1:20" x14ac:dyDescent="0.25">
      <c r="A15">
        <v>14</v>
      </c>
      <c r="B15">
        <v>1.5E-3</v>
      </c>
      <c r="C15">
        <v>0</v>
      </c>
      <c r="D15">
        <v>0.1439</v>
      </c>
      <c r="E15">
        <v>0.64270000000000005</v>
      </c>
      <c r="F15">
        <v>0.2</v>
      </c>
      <c r="G15">
        <v>4.2700000000000002E-2</v>
      </c>
      <c r="H15">
        <v>4.0399999999999998E-2</v>
      </c>
      <c r="I15">
        <v>4.58E-2</v>
      </c>
      <c r="J15">
        <v>4.2500000000000003E-2</v>
      </c>
      <c r="K15">
        <v>158.19409999999999</v>
      </c>
      <c r="L15">
        <v>0.9284</v>
      </c>
      <c r="M15">
        <v>5.0900000000000001E-2</v>
      </c>
      <c r="N15">
        <v>287</v>
      </c>
      <c r="O15">
        <v>90</v>
      </c>
      <c r="P15">
        <v>131.4237</v>
      </c>
      <c r="Q15">
        <v>4.0399999999999998E-2</v>
      </c>
      <c r="R15">
        <v>1.0780000000000001</v>
      </c>
      <c r="S15">
        <v>0.92759999999999998</v>
      </c>
      <c r="T15">
        <v>0.96040000000000003</v>
      </c>
    </row>
    <row r="16" spans="1:20" x14ac:dyDescent="0.25">
      <c r="A16">
        <v>15</v>
      </c>
      <c r="B16">
        <v>8.0000000000000004E-4</v>
      </c>
      <c r="C16">
        <v>0</v>
      </c>
      <c r="D16">
        <v>0.1056</v>
      </c>
      <c r="E16">
        <v>2.3797999999999999</v>
      </c>
      <c r="F16">
        <v>0.24490000000000001</v>
      </c>
      <c r="G16">
        <v>3.15E-2</v>
      </c>
      <c r="H16">
        <v>2.92E-2</v>
      </c>
      <c r="I16">
        <v>3.5000000000000003E-2</v>
      </c>
      <c r="J16">
        <v>0.03</v>
      </c>
      <c r="K16">
        <v>167.9761</v>
      </c>
      <c r="L16">
        <v>0.9284</v>
      </c>
      <c r="M16">
        <v>3.8699999999999998E-2</v>
      </c>
      <c r="N16">
        <v>1059</v>
      </c>
      <c r="O16">
        <v>111</v>
      </c>
      <c r="P16">
        <v>144.4623</v>
      </c>
      <c r="Q16">
        <v>2.92E-2</v>
      </c>
      <c r="R16">
        <v>1.1657</v>
      </c>
      <c r="S16">
        <v>0.8579</v>
      </c>
      <c r="T16">
        <v>0.95879999999999999</v>
      </c>
    </row>
    <row r="17" spans="1:20" x14ac:dyDescent="0.25">
      <c r="A17">
        <v>16</v>
      </c>
      <c r="B17">
        <v>2E-3</v>
      </c>
      <c r="C17">
        <v>0</v>
      </c>
      <c r="D17">
        <v>0.1741</v>
      </c>
      <c r="E17">
        <v>0.7843</v>
      </c>
      <c r="F17">
        <v>0.26069999999999999</v>
      </c>
      <c r="G17">
        <v>6.0699999999999997E-2</v>
      </c>
      <c r="H17">
        <v>3.8199999999999998E-2</v>
      </c>
      <c r="I17">
        <v>6.3299999999999995E-2</v>
      </c>
      <c r="J17">
        <v>4.1099999999999998E-2</v>
      </c>
      <c r="K17">
        <v>177.45590000000001</v>
      </c>
      <c r="L17">
        <v>0.84619999999999995</v>
      </c>
      <c r="M17">
        <v>6.3299999999999995E-2</v>
      </c>
      <c r="N17">
        <v>349</v>
      </c>
      <c r="O17">
        <v>128</v>
      </c>
      <c r="P17">
        <v>16.5044</v>
      </c>
      <c r="Q17">
        <v>3.8199999999999998E-2</v>
      </c>
      <c r="R17">
        <v>1.5412999999999999</v>
      </c>
      <c r="S17">
        <v>0.64880000000000004</v>
      </c>
      <c r="T17">
        <v>0.95730000000000004</v>
      </c>
    </row>
    <row r="18" spans="1:20" x14ac:dyDescent="0.25">
      <c r="A18">
        <v>17</v>
      </c>
      <c r="B18">
        <v>2.3E-3</v>
      </c>
      <c r="C18">
        <v>0</v>
      </c>
      <c r="D18">
        <v>0.183</v>
      </c>
      <c r="E18">
        <v>1.5774999999999999</v>
      </c>
      <c r="F18">
        <v>0.28310000000000002</v>
      </c>
      <c r="G18">
        <v>5.1700000000000003E-2</v>
      </c>
      <c r="H18">
        <v>4.9399999999999999E-2</v>
      </c>
      <c r="I18">
        <v>5.5399999999999998E-2</v>
      </c>
      <c r="J18">
        <v>5.1999999999999998E-2</v>
      </c>
      <c r="K18">
        <v>9.8552</v>
      </c>
      <c r="L18">
        <v>0.84850000000000003</v>
      </c>
      <c r="M18">
        <v>6.5600000000000006E-2</v>
      </c>
      <c r="N18">
        <v>702</v>
      </c>
      <c r="O18">
        <v>146</v>
      </c>
      <c r="P18">
        <v>38.046999999999997</v>
      </c>
      <c r="Q18">
        <v>4.9200000000000001E-2</v>
      </c>
      <c r="R18">
        <v>1.0672999999999999</v>
      </c>
      <c r="S18">
        <v>0.93689999999999996</v>
      </c>
      <c r="T18">
        <v>0.94320000000000004</v>
      </c>
    </row>
    <row r="19" spans="1:20" x14ac:dyDescent="0.25">
      <c r="A19">
        <v>18</v>
      </c>
      <c r="B19">
        <v>2.8E-3</v>
      </c>
      <c r="C19">
        <v>0</v>
      </c>
      <c r="D19">
        <v>0.19969999999999999</v>
      </c>
      <c r="E19">
        <v>1.9056</v>
      </c>
      <c r="F19">
        <v>0.28310000000000002</v>
      </c>
      <c r="G19">
        <v>6.0699999999999997E-2</v>
      </c>
      <c r="H19">
        <v>5.1700000000000003E-2</v>
      </c>
      <c r="I19">
        <v>6.4699999999999994E-2</v>
      </c>
      <c r="J19">
        <v>5.4899999999999997E-2</v>
      </c>
      <c r="K19">
        <v>174.102</v>
      </c>
      <c r="L19">
        <v>0.87990000000000002</v>
      </c>
      <c r="M19">
        <v>6.9800000000000001E-2</v>
      </c>
      <c r="N19">
        <v>848</v>
      </c>
      <c r="O19">
        <v>146</v>
      </c>
      <c r="P19">
        <v>33.1785</v>
      </c>
      <c r="Q19">
        <v>5.1700000000000003E-2</v>
      </c>
      <c r="R19">
        <v>1.1786000000000001</v>
      </c>
      <c r="S19">
        <v>0.84850000000000003</v>
      </c>
      <c r="T19">
        <v>0.95920000000000005</v>
      </c>
    </row>
    <row r="20" spans="1:20" x14ac:dyDescent="0.25">
      <c r="A20">
        <v>19</v>
      </c>
      <c r="B20">
        <v>1.6999999999999999E-3</v>
      </c>
      <c r="C20">
        <v>0</v>
      </c>
      <c r="D20">
        <v>0.1542</v>
      </c>
      <c r="E20">
        <v>0.8427</v>
      </c>
      <c r="F20">
        <v>0.30109999999999998</v>
      </c>
      <c r="G20">
        <v>3.8199999999999998E-2</v>
      </c>
      <c r="H20">
        <v>4.9399999999999999E-2</v>
      </c>
      <c r="I20">
        <v>5.1999999999999998E-2</v>
      </c>
      <c r="J20">
        <v>4.1000000000000002E-2</v>
      </c>
      <c r="K20">
        <v>78.174999999999997</v>
      </c>
      <c r="L20">
        <v>0.88580000000000003</v>
      </c>
      <c r="M20">
        <v>5.62E-2</v>
      </c>
      <c r="N20">
        <v>376</v>
      </c>
      <c r="O20">
        <v>154</v>
      </c>
      <c r="P20">
        <v>53.130099999999999</v>
      </c>
      <c r="Q20">
        <v>3.8199999999999998E-2</v>
      </c>
      <c r="R20">
        <v>1.2678</v>
      </c>
      <c r="S20">
        <v>0.78869999999999996</v>
      </c>
      <c r="T20">
        <v>0.9637</v>
      </c>
    </row>
    <row r="21" spans="1:20" x14ac:dyDescent="0.25">
      <c r="A21">
        <v>20</v>
      </c>
      <c r="B21">
        <v>1.9E-3</v>
      </c>
      <c r="C21">
        <v>0</v>
      </c>
      <c r="D21">
        <v>0.1598</v>
      </c>
      <c r="E21">
        <v>1.1371</v>
      </c>
      <c r="F21">
        <v>0.3034</v>
      </c>
      <c r="G21">
        <v>4.4900000000000002E-2</v>
      </c>
      <c r="H21">
        <v>4.9399999999999999E-2</v>
      </c>
      <c r="I21">
        <v>5.2299999999999999E-2</v>
      </c>
      <c r="J21">
        <v>4.5100000000000001E-2</v>
      </c>
      <c r="K21">
        <v>87.464299999999994</v>
      </c>
      <c r="L21">
        <v>0.91200000000000003</v>
      </c>
      <c r="M21">
        <v>5.4399999999999997E-2</v>
      </c>
      <c r="N21">
        <v>508</v>
      </c>
      <c r="O21">
        <v>155</v>
      </c>
      <c r="P21">
        <v>51.709800000000001</v>
      </c>
      <c r="Q21">
        <v>4.4499999999999998E-2</v>
      </c>
      <c r="R21">
        <v>1.1579999999999999</v>
      </c>
      <c r="S21">
        <v>0.86360000000000003</v>
      </c>
      <c r="T21">
        <v>0.94589999999999996</v>
      </c>
    </row>
    <row r="22" spans="1:20" x14ac:dyDescent="0.25">
      <c r="A22">
        <v>21</v>
      </c>
      <c r="B22">
        <v>1.6000000000000001E-3</v>
      </c>
      <c r="C22">
        <v>0</v>
      </c>
      <c r="D22">
        <v>0.15160000000000001</v>
      </c>
      <c r="E22">
        <v>2.2808999999999999</v>
      </c>
      <c r="F22">
        <v>0.34160000000000001</v>
      </c>
      <c r="G22">
        <v>4.7199999999999999E-2</v>
      </c>
      <c r="H22">
        <v>4.0399999999999998E-2</v>
      </c>
      <c r="I22">
        <v>4.9200000000000001E-2</v>
      </c>
      <c r="J22">
        <v>4.2599999999999999E-2</v>
      </c>
      <c r="K22">
        <v>171.0385</v>
      </c>
      <c r="L22">
        <v>0.90029999999999999</v>
      </c>
      <c r="M22">
        <v>5.2999999999999999E-2</v>
      </c>
      <c r="N22">
        <v>1016</v>
      </c>
      <c r="O22">
        <v>154</v>
      </c>
      <c r="P22">
        <v>143.6156</v>
      </c>
      <c r="Q22">
        <v>4.0399999999999998E-2</v>
      </c>
      <c r="R22">
        <v>1.1539999999999999</v>
      </c>
      <c r="S22">
        <v>0.86660000000000004</v>
      </c>
      <c r="T22">
        <v>0.94910000000000005</v>
      </c>
    </row>
    <row r="23" spans="1:20" x14ac:dyDescent="0.25">
      <c r="A23">
        <v>22</v>
      </c>
      <c r="B23">
        <v>1.6999999999999999E-3</v>
      </c>
      <c r="C23">
        <v>0</v>
      </c>
      <c r="D23">
        <v>0.1542</v>
      </c>
      <c r="E23">
        <v>1.3212999999999999</v>
      </c>
      <c r="F23">
        <v>0.35730000000000001</v>
      </c>
      <c r="G23">
        <v>4.9399999999999999E-2</v>
      </c>
      <c r="H23">
        <v>3.8199999999999998E-2</v>
      </c>
      <c r="I23">
        <v>5.1400000000000001E-2</v>
      </c>
      <c r="J23">
        <v>4.1799999999999997E-2</v>
      </c>
      <c r="K23">
        <v>3.1457999999999999</v>
      </c>
      <c r="L23">
        <v>0.89119999999999999</v>
      </c>
      <c r="M23">
        <v>5.5500000000000001E-2</v>
      </c>
      <c r="N23">
        <v>588</v>
      </c>
      <c r="O23">
        <v>174</v>
      </c>
      <c r="P23">
        <v>31.759499999999999</v>
      </c>
      <c r="Q23">
        <v>3.8199999999999998E-2</v>
      </c>
      <c r="R23">
        <v>1.2303999999999999</v>
      </c>
      <c r="S23">
        <v>0.81279999999999997</v>
      </c>
      <c r="T23">
        <v>0.95840000000000003</v>
      </c>
    </row>
    <row r="24" spans="1:20" x14ac:dyDescent="0.25">
      <c r="A24">
        <v>23</v>
      </c>
      <c r="B24">
        <v>1.6000000000000001E-3</v>
      </c>
      <c r="C24">
        <v>0</v>
      </c>
      <c r="D24">
        <v>0.15340000000000001</v>
      </c>
      <c r="E24">
        <v>1.4494</v>
      </c>
      <c r="F24">
        <v>0.37530000000000002</v>
      </c>
      <c r="G24">
        <v>5.1700000000000003E-2</v>
      </c>
      <c r="H24">
        <v>3.5999999999999997E-2</v>
      </c>
      <c r="I24">
        <v>5.3900000000000003E-2</v>
      </c>
      <c r="J24">
        <v>3.78E-2</v>
      </c>
      <c r="K24">
        <v>178.53720000000001</v>
      </c>
      <c r="L24">
        <v>0.85429999999999995</v>
      </c>
      <c r="M24">
        <v>5.4699999999999999E-2</v>
      </c>
      <c r="N24">
        <v>645</v>
      </c>
      <c r="O24">
        <v>181</v>
      </c>
      <c r="P24">
        <v>19.178999999999998</v>
      </c>
      <c r="Q24">
        <v>3.5999999999999997E-2</v>
      </c>
      <c r="R24">
        <v>1.427</v>
      </c>
      <c r="S24">
        <v>0.70079999999999998</v>
      </c>
      <c r="T24">
        <v>0.94630000000000003</v>
      </c>
    </row>
    <row r="25" spans="1:20" x14ac:dyDescent="0.25">
      <c r="A25">
        <v>24</v>
      </c>
      <c r="B25">
        <v>5.9999999999999995E-4</v>
      </c>
      <c r="C25">
        <v>0</v>
      </c>
      <c r="D25">
        <v>8.9399999999999993E-2</v>
      </c>
      <c r="E25">
        <v>3.2067000000000001</v>
      </c>
      <c r="F25">
        <v>0.37530000000000002</v>
      </c>
      <c r="G25">
        <v>2.7E-2</v>
      </c>
      <c r="H25">
        <v>2.7E-2</v>
      </c>
      <c r="I25">
        <v>2.8899999999999999E-2</v>
      </c>
      <c r="J25">
        <v>2.8000000000000001E-2</v>
      </c>
      <c r="K25">
        <v>56.379800000000003</v>
      </c>
      <c r="L25">
        <v>0.99960000000000004</v>
      </c>
      <c r="M25">
        <v>3.1899999999999998E-2</v>
      </c>
      <c r="N25">
        <v>1427</v>
      </c>
      <c r="O25">
        <v>177</v>
      </c>
      <c r="P25">
        <v>39.289400000000001</v>
      </c>
      <c r="Q25">
        <v>2.7E-2</v>
      </c>
      <c r="R25">
        <v>1.0306999999999999</v>
      </c>
      <c r="S25">
        <v>0.97019999999999995</v>
      </c>
      <c r="T25">
        <v>0.95450000000000002</v>
      </c>
    </row>
    <row r="26" spans="1:20" x14ac:dyDescent="0.25">
      <c r="A26">
        <v>25</v>
      </c>
      <c r="B26">
        <v>2.3E-3</v>
      </c>
      <c r="C26">
        <v>0</v>
      </c>
      <c r="D26">
        <v>0.1804</v>
      </c>
      <c r="E26">
        <v>2.3843000000000001</v>
      </c>
      <c r="F26">
        <v>0.39329999999999998</v>
      </c>
      <c r="G26">
        <v>4.7199999999999999E-2</v>
      </c>
      <c r="H26">
        <v>5.62E-2</v>
      </c>
      <c r="I26">
        <v>5.9400000000000001E-2</v>
      </c>
      <c r="J26">
        <v>4.9399999999999999E-2</v>
      </c>
      <c r="K26">
        <v>75.138099999999994</v>
      </c>
      <c r="L26">
        <v>0.89100000000000001</v>
      </c>
      <c r="M26">
        <v>6.4299999999999996E-2</v>
      </c>
      <c r="N26">
        <v>1063</v>
      </c>
      <c r="O26">
        <v>199</v>
      </c>
      <c r="P26">
        <v>53.530799999999999</v>
      </c>
      <c r="Q26">
        <v>4.7199999999999999E-2</v>
      </c>
      <c r="R26">
        <v>1.2023999999999999</v>
      </c>
      <c r="S26">
        <v>0.83169999999999999</v>
      </c>
      <c r="T26">
        <v>0.95509999999999995</v>
      </c>
    </row>
    <row r="27" spans="1:20" x14ac:dyDescent="0.25">
      <c r="A27">
        <v>26</v>
      </c>
      <c r="B27">
        <v>2.8E-3</v>
      </c>
      <c r="C27">
        <v>0</v>
      </c>
      <c r="D27">
        <v>0.20469999999999999</v>
      </c>
      <c r="E27">
        <v>3.2269999999999999</v>
      </c>
      <c r="F27">
        <v>0.41349999999999998</v>
      </c>
      <c r="G27">
        <v>6.7400000000000002E-2</v>
      </c>
      <c r="H27">
        <v>4.9399999999999999E-2</v>
      </c>
      <c r="I27">
        <v>6.9500000000000006E-2</v>
      </c>
      <c r="J27">
        <v>5.1700000000000003E-2</v>
      </c>
      <c r="K27">
        <v>176.57640000000001</v>
      </c>
      <c r="L27">
        <v>0.84619999999999995</v>
      </c>
      <c r="M27">
        <v>7.3499999999999996E-2</v>
      </c>
      <c r="N27">
        <v>1436</v>
      </c>
      <c r="O27">
        <v>202</v>
      </c>
      <c r="P27">
        <v>23.428699999999999</v>
      </c>
      <c r="Q27">
        <v>4.9299999999999997E-2</v>
      </c>
      <c r="R27">
        <v>1.3456999999999999</v>
      </c>
      <c r="S27">
        <v>0.74309999999999998</v>
      </c>
      <c r="T27">
        <v>0.94989999999999997</v>
      </c>
    </row>
    <row r="28" spans="1:20" x14ac:dyDescent="0.25">
      <c r="A28">
        <v>27</v>
      </c>
      <c r="B28">
        <v>3.5999999999999999E-3</v>
      </c>
      <c r="C28">
        <v>0</v>
      </c>
      <c r="D28">
        <v>0.2349</v>
      </c>
      <c r="E28">
        <v>0.1326</v>
      </c>
      <c r="F28">
        <v>0.41799999999999998</v>
      </c>
      <c r="G28">
        <v>8.09E-2</v>
      </c>
      <c r="H28">
        <v>5.1700000000000003E-2</v>
      </c>
      <c r="I28">
        <v>8.7099999999999997E-2</v>
      </c>
      <c r="J28">
        <v>5.28E-2</v>
      </c>
      <c r="K28">
        <v>176.06819999999999</v>
      </c>
      <c r="L28">
        <v>0.82240000000000002</v>
      </c>
      <c r="M28">
        <v>8.5300000000000001E-2</v>
      </c>
      <c r="N28">
        <v>59</v>
      </c>
      <c r="O28">
        <v>202</v>
      </c>
      <c r="P28">
        <v>18.434899999999999</v>
      </c>
      <c r="Q28">
        <v>5.0500000000000003E-2</v>
      </c>
      <c r="R28">
        <v>1.6516999999999999</v>
      </c>
      <c r="S28">
        <v>0.60550000000000004</v>
      </c>
      <c r="T28">
        <v>0.95840000000000003</v>
      </c>
    </row>
    <row r="29" spans="1:20" x14ac:dyDescent="0.25">
      <c r="A29">
        <v>28</v>
      </c>
      <c r="B29">
        <v>1.8E-3</v>
      </c>
      <c r="C29">
        <v>0</v>
      </c>
      <c r="D29">
        <v>0.15740000000000001</v>
      </c>
      <c r="E29">
        <v>1.2067000000000001</v>
      </c>
      <c r="F29">
        <v>0.42920000000000003</v>
      </c>
      <c r="G29">
        <v>4.4900000000000002E-2</v>
      </c>
      <c r="H29">
        <v>4.4900000000000002E-2</v>
      </c>
      <c r="I29">
        <v>4.9399999999999999E-2</v>
      </c>
      <c r="J29">
        <v>4.6199999999999998E-2</v>
      </c>
      <c r="K29">
        <v>144.11519999999999</v>
      </c>
      <c r="L29">
        <v>0.9093</v>
      </c>
      <c r="M29">
        <v>5.5599999999999997E-2</v>
      </c>
      <c r="N29">
        <v>538</v>
      </c>
      <c r="O29">
        <v>192</v>
      </c>
      <c r="P29">
        <v>133.36340000000001</v>
      </c>
      <c r="Q29">
        <v>4.4900000000000002E-2</v>
      </c>
      <c r="R29">
        <v>1.0711999999999999</v>
      </c>
      <c r="S29">
        <v>0.9335</v>
      </c>
      <c r="T29">
        <v>0.95950000000000002</v>
      </c>
    </row>
    <row r="30" spans="1:20" x14ac:dyDescent="0.25">
      <c r="A30">
        <v>29</v>
      </c>
      <c r="B30">
        <v>1.4E-3</v>
      </c>
      <c r="C30">
        <v>0</v>
      </c>
      <c r="D30">
        <v>0.1368</v>
      </c>
      <c r="E30">
        <v>1.5954999999999999</v>
      </c>
      <c r="F30">
        <v>0.44269999999999998</v>
      </c>
      <c r="G30">
        <v>3.8199999999999998E-2</v>
      </c>
      <c r="H30">
        <v>4.2700000000000002E-2</v>
      </c>
      <c r="I30">
        <v>4.4999999999999998E-2</v>
      </c>
      <c r="J30">
        <v>3.9699999999999999E-2</v>
      </c>
      <c r="K30">
        <v>81.634799999999998</v>
      </c>
      <c r="L30">
        <v>0.94289999999999996</v>
      </c>
      <c r="M30">
        <v>4.6800000000000001E-2</v>
      </c>
      <c r="N30">
        <v>712</v>
      </c>
      <c r="O30">
        <v>198</v>
      </c>
      <c r="P30">
        <v>125.2176</v>
      </c>
      <c r="Q30">
        <v>3.8199999999999998E-2</v>
      </c>
      <c r="R30">
        <v>1.1335</v>
      </c>
      <c r="S30">
        <v>0.88229999999999997</v>
      </c>
      <c r="T30">
        <v>0.95369999999999999</v>
      </c>
    </row>
    <row r="31" spans="1:20" x14ac:dyDescent="0.25">
      <c r="A31">
        <v>30</v>
      </c>
      <c r="B31">
        <v>2.3999999999999998E-3</v>
      </c>
      <c r="C31">
        <v>0</v>
      </c>
      <c r="D31">
        <v>0.18229999999999999</v>
      </c>
      <c r="E31">
        <v>2.1461000000000001</v>
      </c>
      <c r="F31">
        <v>0.48309999999999997</v>
      </c>
      <c r="G31">
        <v>5.3900000000000003E-2</v>
      </c>
      <c r="H31">
        <v>5.1700000000000003E-2</v>
      </c>
      <c r="I31">
        <v>5.8200000000000002E-2</v>
      </c>
      <c r="J31">
        <v>5.3499999999999999E-2</v>
      </c>
      <c r="K31">
        <v>14.926399999999999</v>
      </c>
      <c r="L31">
        <v>0.9244</v>
      </c>
      <c r="M31">
        <v>6.4299999999999996E-2</v>
      </c>
      <c r="N31">
        <v>956</v>
      </c>
      <c r="O31">
        <v>235</v>
      </c>
      <c r="P31">
        <v>36.469200000000001</v>
      </c>
      <c r="Q31">
        <v>5.1700000000000003E-2</v>
      </c>
      <c r="R31">
        <v>1.0884</v>
      </c>
      <c r="S31">
        <v>0.91879999999999995</v>
      </c>
      <c r="T31">
        <v>0.96319999999999995</v>
      </c>
    </row>
    <row r="32" spans="1:20" x14ac:dyDescent="0.25">
      <c r="A32">
        <v>31</v>
      </c>
      <c r="B32">
        <v>6.9999999999999999E-4</v>
      </c>
      <c r="C32">
        <v>0</v>
      </c>
      <c r="D32">
        <v>0.11749999999999999</v>
      </c>
      <c r="E32">
        <v>0.61570000000000003</v>
      </c>
      <c r="F32">
        <v>0.50109999999999999</v>
      </c>
      <c r="G32">
        <v>2.47E-2</v>
      </c>
      <c r="H32">
        <v>4.0399999999999998E-2</v>
      </c>
      <c r="I32">
        <v>4.1599999999999998E-2</v>
      </c>
      <c r="J32">
        <v>2.12E-2</v>
      </c>
      <c r="K32">
        <v>84.807400000000001</v>
      </c>
      <c r="L32">
        <v>0.62980000000000003</v>
      </c>
      <c r="M32">
        <v>4.2000000000000003E-2</v>
      </c>
      <c r="N32">
        <v>278</v>
      </c>
      <c r="O32">
        <v>223</v>
      </c>
      <c r="P32">
        <v>105.5241</v>
      </c>
      <c r="Q32">
        <v>2.47E-2</v>
      </c>
      <c r="R32">
        <v>1.9681</v>
      </c>
      <c r="S32">
        <v>0.5081</v>
      </c>
      <c r="T32">
        <v>0.80349999999999999</v>
      </c>
    </row>
    <row r="33" spans="1:20" x14ac:dyDescent="0.25">
      <c r="A33">
        <v>32</v>
      </c>
      <c r="B33">
        <v>1.8E-3</v>
      </c>
      <c r="C33">
        <v>0</v>
      </c>
      <c r="D33">
        <v>0.1696</v>
      </c>
      <c r="E33">
        <v>0.88759999999999994</v>
      </c>
      <c r="F33">
        <v>0.50790000000000002</v>
      </c>
      <c r="G33">
        <v>6.0699999999999997E-2</v>
      </c>
      <c r="H33">
        <v>3.5999999999999997E-2</v>
      </c>
      <c r="I33">
        <v>6.4500000000000002E-2</v>
      </c>
      <c r="J33">
        <v>3.6400000000000002E-2</v>
      </c>
      <c r="K33">
        <v>176.48400000000001</v>
      </c>
      <c r="L33">
        <v>0.80559999999999998</v>
      </c>
      <c r="M33">
        <v>6.2700000000000006E-2</v>
      </c>
      <c r="N33">
        <v>395</v>
      </c>
      <c r="O33">
        <v>237</v>
      </c>
      <c r="P33">
        <v>14.5345</v>
      </c>
      <c r="Q33">
        <v>3.5200000000000002E-2</v>
      </c>
      <c r="R33">
        <v>1.7721</v>
      </c>
      <c r="S33">
        <v>0.56430000000000002</v>
      </c>
      <c r="T33">
        <v>0.93830000000000002</v>
      </c>
    </row>
    <row r="34" spans="1:20" x14ac:dyDescent="0.25">
      <c r="A34">
        <v>33</v>
      </c>
      <c r="B34">
        <v>1.1000000000000001E-3</v>
      </c>
      <c r="C34">
        <v>0</v>
      </c>
      <c r="D34">
        <v>0.1246</v>
      </c>
      <c r="E34">
        <v>1.6899</v>
      </c>
      <c r="F34">
        <v>0.53259999999999996</v>
      </c>
      <c r="G34">
        <v>3.8199999999999998E-2</v>
      </c>
      <c r="H34">
        <v>3.5999999999999997E-2</v>
      </c>
      <c r="I34">
        <v>4.07E-2</v>
      </c>
      <c r="J34">
        <v>3.56E-2</v>
      </c>
      <c r="K34">
        <v>40.637999999999998</v>
      </c>
      <c r="L34">
        <v>0.9194</v>
      </c>
      <c r="M34">
        <v>4.5499999999999999E-2</v>
      </c>
      <c r="N34">
        <v>752</v>
      </c>
      <c r="O34">
        <v>250</v>
      </c>
      <c r="P34">
        <v>32.905200000000001</v>
      </c>
      <c r="Q34">
        <v>3.5999999999999997E-2</v>
      </c>
      <c r="R34">
        <v>1.1423000000000001</v>
      </c>
      <c r="S34">
        <v>0.87539999999999996</v>
      </c>
      <c r="T34">
        <v>0.9395</v>
      </c>
    </row>
    <row r="35" spans="1:20" x14ac:dyDescent="0.25">
      <c r="A35">
        <v>34</v>
      </c>
      <c r="B35">
        <v>3.5000000000000001E-3</v>
      </c>
      <c r="C35">
        <v>0</v>
      </c>
      <c r="D35">
        <v>0.2278</v>
      </c>
      <c r="E35">
        <v>0.35060000000000002</v>
      </c>
      <c r="F35">
        <v>0.54610000000000003</v>
      </c>
      <c r="G35">
        <v>7.8700000000000006E-2</v>
      </c>
      <c r="H35">
        <v>5.1700000000000003E-2</v>
      </c>
      <c r="I35">
        <v>8.4400000000000003E-2</v>
      </c>
      <c r="J35">
        <v>5.3199999999999997E-2</v>
      </c>
      <c r="K35">
        <v>176.04740000000001</v>
      </c>
      <c r="L35">
        <v>0.85509999999999997</v>
      </c>
      <c r="M35">
        <v>8.2400000000000001E-2</v>
      </c>
      <c r="N35">
        <v>156</v>
      </c>
      <c r="O35">
        <v>259</v>
      </c>
      <c r="P35">
        <v>17.447199999999999</v>
      </c>
      <c r="Q35">
        <v>5.1700000000000003E-2</v>
      </c>
      <c r="R35">
        <v>1.5851</v>
      </c>
      <c r="S35">
        <v>0.63090000000000002</v>
      </c>
      <c r="T35">
        <v>0.96409999999999996</v>
      </c>
    </row>
    <row r="36" spans="1:20" x14ac:dyDescent="0.25">
      <c r="A36">
        <v>35</v>
      </c>
      <c r="B36">
        <v>1.1999999999999999E-3</v>
      </c>
      <c r="C36">
        <v>0</v>
      </c>
      <c r="D36">
        <v>0.12989999999999999</v>
      </c>
      <c r="E36">
        <v>1.9843</v>
      </c>
      <c r="F36">
        <v>0.56179999999999997</v>
      </c>
      <c r="G36">
        <v>3.8199999999999998E-2</v>
      </c>
      <c r="H36">
        <v>3.5999999999999997E-2</v>
      </c>
      <c r="I36">
        <v>3.9800000000000002E-2</v>
      </c>
      <c r="J36">
        <v>3.7199999999999997E-2</v>
      </c>
      <c r="K36">
        <v>165.1566</v>
      </c>
      <c r="L36">
        <v>0.86519999999999997</v>
      </c>
      <c r="M36">
        <v>4.6100000000000002E-2</v>
      </c>
      <c r="N36">
        <v>884</v>
      </c>
      <c r="O36">
        <v>250</v>
      </c>
      <c r="P36">
        <v>133.02510000000001</v>
      </c>
      <c r="Q36">
        <v>3.5799999999999998E-2</v>
      </c>
      <c r="R36">
        <v>1.0704</v>
      </c>
      <c r="S36">
        <v>0.93430000000000002</v>
      </c>
      <c r="T36">
        <v>0.92930000000000001</v>
      </c>
    </row>
    <row r="37" spans="1:20" x14ac:dyDescent="0.25">
      <c r="A37">
        <v>36</v>
      </c>
      <c r="B37">
        <v>1.2999999999999999E-3</v>
      </c>
      <c r="C37">
        <v>0</v>
      </c>
      <c r="D37">
        <v>0.1376</v>
      </c>
      <c r="E37">
        <v>0.25619999999999998</v>
      </c>
      <c r="F37">
        <v>0.56630000000000003</v>
      </c>
      <c r="G37">
        <v>3.3700000000000001E-2</v>
      </c>
      <c r="H37">
        <v>4.4900000000000002E-2</v>
      </c>
      <c r="I37">
        <v>4.7500000000000001E-2</v>
      </c>
      <c r="J37">
        <v>3.5200000000000002E-2</v>
      </c>
      <c r="K37">
        <v>85.173699999999997</v>
      </c>
      <c r="L37">
        <v>0.872</v>
      </c>
      <c r="M37">
        <v>4.8599999999999997E-2</v>
      </c>
      <c r="N37">
        <v>115</v>
      </c>
      <c r="O37">
        <v>270</v>
      </c>
      <c r="P37">
        <v>56.309899999999999</v>
      </c>
      <c r="Q37">
        <v>3.3700000000000001E-2</v>
      </c>
      <c r="R37">
        <v>1.3515999999999999</v>
      </c>
      <c r="S37">
        <v>0.7399</v>
      </c>
      <c r="T37">
        <v>0.94889999999999997</v>
      </c>
    </row>
    <row r="38" spans="1:20" x14ac:dyDescent="0.25">
      <c r="A38">
        <v>37</v>
      </c>
      <c r="B38">
        <v>1.1999999999999999E-3</v>
      </c>
      <c r="C38">
        <v>0</v>
      </c>
      <c r="D38">
        <v>0.12540000000000001</v>
      </c>
      <c r="E38">
        <v>3.2471999999999999</v>
      </c>
      <c r="F38">
        <v>0.58199999999999996</v>
      </c>
      <c r="G38">
        <v>3.8199999999999998E-2</v>
      </c>
      <c r="H38">
        <v>3.3700000000000001E-2</v>
      </c>
      <c r="I38">
        <v>4.1500000000000002E-2</v>
      </c>
      <c r="J38">
        <v>3.56E-2</v>
      </c>
      <c r="K38">
        <v>10.603400000000001</v>
      </c>
      <c r="L38">
        <v>0.92830000000000001</v>
      </c>
      <c r="M38">
        <v>4.6800000000000001E-2</v>
      </c>
      <c r="N38">
        <v>1445</v>
      </c>
      <c r="O38">
        <v>272</v>
      </c>
      <c r="P38">
        <v>35.217599999999997</v>
      </c>
      <c r="Q38">
        <v>3.3700000000000001E-2</v>
      </c>
      <c r="R38">
        <v>1.1644000000000001</v>
      </c>
      <c r="S38">
        <v>0.85880000000000001</v>
      </c>
      <c r="T38">
        <v>0.96440000000000003</v>
      </c>
    </row>
    <row r="39" spans="1:20" x14ac:dyDescent="0.25">
      <c r="A39">
        <v>38</v>
      </c>
      <c r="B39">
        <v>8.0000000000000004E-4</v>
      </c>
      <c r="C39">
        <v>0</v>
      </c>
      <c r="D39">
        <v>0.1061</v>
      </c>
      <c r="E39">
        <v>2.573</v>
      </c>
      <c r="F39">
        <v>0.59099999999999997</v>
      </c>
      <c r="G39">
        <v>2.92E-2</v>
      </c>
      <c r="H39">
        <v>3.3700000000000001E-2</v>
      </c>
      <c r="I39">
        <v>3.5299999999999998E-2</v>
      </c>
      <c r="J39">
        <v>2.93E-2</v>
      </c>
      <c r="K39">
        <v>109.5963</v>
      </c>
      <c r="L39">
        <v>0.90759999999999996</v>
      </c>
      <c r="M39">
        <v>3.8199999999999998E-2</v>
      </c>
      <c r="N39">
        <v>1148</v>
      </c>
      <c r="O39">
        <v>263</v>
      </c>
      <c r="P39">
        <v>118.07250000000001</v>
      </c>
      <c r="Q39">
        <v>2.92E-2</v>
      </c>
      <c r="R39">
        <v>1.2069000000000001</v>
      </c>
      <c r="S39">
        <v>0.8286</v>
      </c>
      <c r="T39">
        <v>0.93879999999999997</v>
      </c>
    </row>
    <row r="40" spans="1:20" x14ac:dyDescent="0.25">
      <c r="A40">
        <v>39</v>
      </c>
      <c r="B40">
        <v>3.0999999999999999E-3</v>
      </c>
      <c r="C40">
        <v>0</v>
      </c>
      <c r="D40">
        <v>0.21190000000000001</v>
      </c>
      <c r="E40">
        <v>1.3865000000000001</v>
      </c>
      <c r="F40">
        <v>0.60899999999999999</v>
      </c>
      <c r="G40">
        <v>6.5199999999999994E-2</v>
      </c>
      <c r="H40">
        <v>5.3900000000000003E-2</v>
      </c>
      <c r="I40">
        <v>6.88E-2</v>
      </c>
      <c r="J40">
        <v>5.7200000000000001E-2</v>
      </c>
      <c r="K40">
        <v>175.6062</v>
      </c>
      <c r="L40">
        <v>0.86509999999999998</v>
      </c>
      <c r="M40">
        <v>7.3400000000000007E-2</v>
      </c>
      <c r="N40">
        <v>618</v>
      </c>
      <c r="O40">
        <v>274</v>
      </c>
      <c r="P40">
        <v>139.96969999999999</v>
      </c>
      <c r="Q40">
        <v>5.3900000000000003E-2</v>
      </c>
      <c r="R40">
        <v>1.2018</v>
      </c>
      <c r="S40">
        <v>0.83209999999999995</v>
      </c>
      <c r="T40">
        <v>0.95920000000000005</v>
      </c>
    </row>
    <row r="41" spans="1:20" x14ac:dyDescent="0.25">
      <c r="A41">
        <v>40</v>
      </c>
      <c r="B41">
        <v>4.0000000000000001E-3</v>
      </c>
      <c r="C41">
        <v>0</v>
      </c>
      <c r="D41">
        <v>0.23780000000000001</v>
      </c>
      <c r="E41">
        <v>1.2292000000000001</v>
      </c>
      <c r="F41">
        <v>0.61570000000000003</v>
      </c>
      <c r="G41">
        <v>7.6399999999999996E-2</v>
      </c>
      <c r="H41">
        <v>6.0699999999999997E-2</v>
      </c>
      <c r="I41">
        <v>7.8899999999999998E-2</v>
      </c>
      <c r="J41">
        <v>6.3799999999999996E-2</v>
      </c>
      <c r="K41">
        <v>179.279</v>
      </c>
      <c r="L41">
        <v>0.87829999999999997</v>
      </c>
      <c r="M41">
        <v>8.1799999999999998E-2</v>
      </c>
      <c r="N41">
        <v>547</v>
      </c>
      <c r="O41">
        <v>295</v>
      </c>
      <c r="P41">
        <v>20.924499999999998</v>
      </c>
      <c r="Q41">
        <v>6.0699999999999997E-2</v>
      </c>
      <c r="R41">
        <v>1.2373000000000001</v>
      </c>
      <c r="S41">
        <v>0.80820000000000003</v>
      </c>
      <c r="T41">
        <v>0.95840000000000003</v>
      </c>
    </row>
    <row r="42" spans="1:20" ht="14.25" customHeight="1" x14ac:dyDescent="0.25">
      <c r="A42">
        <v>41</v>
      </c>
      <c r="B42">
        <v>1.6000000000000001E-3</v>
      </c>
      <c r="C42">
        <v>0</v>
      </c>
      <c r="D42">
        <v>0.15029999999999999</v>
      </c>
      <c r="E42">
        <v>1.6809000000000001</v>
      </c>
      <c r="F42">
        <v>0.61570000000000003</v>
      </c>
      <c r="G42">
        <v>4.4900000000000002E-2</v>
      </c>
      <c r="H42">
        <v>4.2700000000000002E-2</v>
      </c>
      <c r="I42">
        <v>4.8800000000000003E-2</v>
      </c>
      <c r="J42">
        <v>4.07E-2</v>
      </c>
      <c r="K42">
        <v>166.16749999999999</v>
      </c>
      <c r="L42">
        <v>0.86839999999999995</v>
      </c>
      <c r="M42">
        <v>5.3600000000000002E-2</v>
      </c>
      <c r="N42">
        <v>748</v>
      </c>
      <c r="O42">
        <v>277</v>
      </c>
      <c r="P42">
        <v>146.9761</v>
      </c>
      <c r="Q42">
        <v>4.2700000000000002E-2</v>
      </c>
      <c r="R42">
        <v>1.1984999999999999</v>
      </c>
      <c r="S42">
        <v>0.83440000000000003</v>
      </c>
      <c r="T42">
        <v>0.94640000000000002</v>
      </c>
    </row>
    <row r="43" spans="1:20" s="1" customFormat="1" x14ac:dyDescent="0.25">
      <c r="A43" s="1">
        <v>42</v>
      </c>
      <c r="B43" s="1">
        <v>5.0000000000000001E-4</v>
      </c>
      <c r="C43" s="1">
        <v>0</v>
      </c>
      <c r="D43" s="1">
        <v>9.3200000000000005E-2</v>
      </c>
      <c r="E43" s="1">
        <v>0.91010000000000002</v>
      </c>
      <c r="F43" s="1">
        <v>0.61799999999999999</v>
      </c>
      <c r="G43" s="1">
        <v>3.5999999999999997E-2</v>
      </c>
      <c r="H43" s="1">
        <v>2.2499999999999999E-2</v>
      </c>
      <c r="I43" s="1">
        <v>3.4000000000000002E-2</v>
      </c>
      <c r="J43" s="1">
        <v>1.89E-2</v>
      </c>
      <c r="K43" s="1">
        <v>2.1728000000000001</v>
      </c>
      <c r="L43" s="1">
        <v>0.73119999999999996</v>
      </c>
      <c r="M43" s="1">
        <v>3.7100000000000001E-2</v>
      </c>
      <c r="N43" s="1">
        <v>405</v>
      </c>
      <c r="O43" s="1">
        <v>281</v>
      </c>
      <c r="P43" s="1">
        <v>14.036199999999999</v>
      </c>
      <c r="Q43" s="1">
        <v>2.2499999999999999E-2</v>
      </c>
      <c r="R43" s="1">
        <v>1.798</v>
      </c>
      <c r="S43" s="1">
        <v>0.55620000000000003</v>
      </c>
      <c r="T43" s="1">
        <v>0.82299999999999995</v>
      </c>
    </row>
    <row r="44" spans="1:20" x14ac:dyDescent="0.25">
      <c r="A44">
        <v>43</v>
      </c>
      <c r="B44">
        <v>2.3999999999999998E-3</v>
      </c>
      <c r="C44">
        <v>0</v>
      </c>
      <c r="D44">
        <v>0.1855</v>
      </c>
      <c r="E44">
        <v>1.7371000000000001</v>
      </c>
      <c r="F44">
        <v>0.61799999999999999</v>
      </c>
      <c r="G44">
        <v>5.3900000000000003E-2</v>
      </c>
      <c r="H44">
        <v>5.3900000000000003E-2</v>
      </c>
      <c r="I44">
        <v>5.6399999999999999E-2</v>
      </c>
      <c r="J44">
        <v>5.5199999999999999E-2</v>
      </c>
      <c r="K44">
        <v>48.154499999999999</v>
      </c>
      <c r="L44">
        <v>0.89300000000000002</v>
      </c>
      <c r="M44">
        <v>6.3E-2</v>
      </c>
      <c r="N44">
        <v>773</v>
      </c>
      <c r="O44">
        <v>295</v>
      </c>
      <c r="P44">
        <v>34.8245</v>
      </c>
      <c r="Q44">
        <v>5.3100000000000001E-2</v>
      </c>
      <c r="R44">
        <v>1.0212000000000001</v>
      </c>
      <c r="S44">
        <v>0.97919999999999996</v>
      </c>
      <c r="T44">
        <v>0.94620000000000004</v>
      </c>
    </row>
    <row r="45" spans="1:20" x14ac:dyDescent="0.25">
      <c r="A45">
        <v>44</v>
      </c>
      <c r="B45">
        <v>3.3999999999999998E-3</v>
      </c>
      <c r="C45">
        <v>0</v>
      </c>
      <c r="D45">
        <v>0.22009999999999999</v>
      </c>
      <c r="E45">
        <v>3.0943999999999998</v>
      </c>
      <c r="F45">
        <v>0.63370000000000004</v>
      </c>
      <c r="G45">
        <v>6.9699999999999998E-2</v>
      </c>
      <c r="H45">
        <v>5.62E-2</v>
      </c>
      <c r="I45">
        <v>7.3599999999999999E-2</v>
      </c>
      <c r="J45">
        <v>5.8400000000000001E-2</v>
      </c>
      <c r="K45">
        <v>171.96459999999999</v>
      </c>
      <c r="L45">
        <v>0.87639999999999996</v>
      </c>
      <c r="M45">
        <v>7.7299999999999994E-2</v>
      </c>
      <c r="N45">
        <v>1378</v>
      </c>
      <c r="O45">
        <v>285</v>
      </c>
      <c r="P45">
        <v>144.4623</v>
      </c>
      <c r="Q45">
        <v>5.5899999999999998E-2</v>
      </c>
      <c r="R45">
        <v>1.2606999999999999</v>
      </c>
      <c r="S45">
        <v>0.79320000000000002</v>
      </c>
      <c r="T45">
        <v>0.95709999999999995</v>
      </c>
    </row>
    <row r="46" spans="1:20" s="1" customFormat="1" x14ac:dyDescent="0.25">
      <c r="A46" s="1">
        <v>45</v>
      </c>
      <c r="B46" s="1">
        <v>1E-3</v>
      </c>
      <c r="C46" s="1">
        <v>0</v>
      </c>
      <c r="D46" s="1">
        <v>0.1431</v>
      </c>
      <c r="E46" s="1">
        <v>0.98650000000000004</v>
      </c>
      <c r="F46" s="1">
        <v>0.64939999999999998</v>
      </c>
      <c r="G46" s="1">
        <v>3.5999999999999997E-2</v>
      </c>
      <c r="H46" s="1">
        <v>3.5999999999999997E-2</v>
      </c>
      <c r="I46" s="1">
        <v>3.7999999999999999E-2</v>
      </c>
      <c r="J46" s="1">
        <v>3.2500000000000001E-2</v>
      </c>
      <c r="K46" s="1">
        <v>98.244799999999998</v>
      </c>
      <c r="L46" s="1">
        <v>0.59460000000000002</v>
      </c>
      <c r="M46" s="1">
        <v>4.4499999999999998E-2</v>
      </c>
      <c r="N46" s="1">
        <v>439</v>
      </c>
      <c r="O46" s="1">
        <v>291</v>
      </c>
      <c r="P46" s="1">
        <v>135</v>
      </c>
      <c r="Q46" s="1">
        <v>3.5999999999999997E-2</v>
      </c>
      <c r="R46" s="1">
        <v>1.1671</v>
      </c>
      <c r="S46" s="1">
        <v>0.85680000000000001</v>
      </c>
      <c r="T46" s="1">
        <v>0.83120000000000005</v>
      </c>
    </row>
    <row r="47" spans="1:20" x14ac:dyDescent="0.25">
      <c r="A47">
        <v>46</v>
      </c>
      <c r="B47">
        <v>3.3E-3</v>
      </c>
      <c r="C47">
        <v>0</v>
      </c>
      <c r="D47">
        <v>0.21820000000000001</v>
      </c>
      <c r="E47">
        <v>0.15959999999999999</v>
      </c>
      <c r="F47">
        <v>0.66069999999999995</v>
      </c>
      <c r="G47">
        <v>5.8400000000000001E-2</v>
      </c>
      <c r="H47">
        <v>6.5199999999999994E-2</v>
      </c>
      <c r="I47">
        <v>6.8900000000000003E-2</v>
      </c>
      <c r="J47">
        <v>6.13E-2</v>
      </c>
      <c r="K47">
        <v>86.294799999999995</v>
      </c>
      <c r="L47">
        <v>0.87539999999999996</v>
      </c>
      <c r="M47">
        <v>7.51E-2</v>
      </c>
      <c r="N47">
        <v>73</v>
      </c>
      <c r="O47">
        <v>295</v>
      </c>
      <c r="P47">
        <v>128.92750000000001</v>
      </c>
      <c r="Q47">
        <v>5.7799999999999997E-2</v>
      </c>
      <c r="R47">
        <v>1.1249</v>
      </c>
      <c r="S47">
        <v>0.88900000000000001</v>
      </c>
      <c r="T47">
        <v>0.95699999999999996</v>
      </c>
    </row>
    <row r="48" spans="1:20" s="1" customFormat="1" x14ac:dyDescent="0.25">
      <c r="A48" s="1">
        <v>47</v>
      </c>
      <c r="B48" s="1">
        <v>5.9999999999999995E-4</v>
      </c>
      <c r="C48" s="1">
        <v>0</v>
      </c>
      <c r="D48" s="1">
        <v>0.1053</v>
      </c>
      <c r="E48" s="1">
        <v>2.3325999999999998</v>
      </c>
      <c r="F48" s="1">
        <v>0.66069999999999995</v>
      </c>
      <c r="G48" s="1">
        <v>3.5999999999999997E-2</v>
      </c>
      <c r="H48" s="1">
        <v>2.47E-2</v>
      </c>
      <c r="I48" s="1">
        <v>3.7499999999999999E-2</v>
      </c>
      <c r="J48" s="1">
        <v>2.06E-2</v>
      </c>
      <c r="K48" s="1">
        <v>11.214499999999999</v>
      </c>
      <c r="L48" s="1">
        <v>0.68640000000000001</v>
      </c>
      <c r="M48" s="1">
        <v>3.9300000000000002E-2</v>
      </c>
      <c r="N48" s="1">
        <v>1038</v>
      </c>
      <c r="O48" s="1">
        <v>305</v>
      </c>
      <c r="P48" s="1">
        <v>30.963799999999999</v>
      </c>
      <c r="Q48" s="1">
        <v>2.3699999999999999E-2</v>
      </c>
      <c r="R48" s="1">
        <v>1.8238000000000001</v>
      </c>
      <c r="S48" s="1">
        <v>0.54830000000000001</v>
      </c>
      <c r="T48" s="1">
        <v>0.81359999999999999</v>
      </c>
    </row>
    <row r="49" spans="1:20" x14ac:dyDescent="0.25">
      <c r="A49">
        <v>48</v>
      </c>
      <c r="B49">
        <v>1E-3</v>
      </c>
      <c r="C49">
        <v>0</v>
      </c>
      <c r="D49">
        <v>0.1125</v>
      </c>
      <c r="E49">
        <v>3.0247000000000002</v>
      </c>
      <c r="F49">
        <v>0.67420000000000002</v>
      </c>
      <c r="G49">
        <v>3.3700000000000001E-2</v>
      </c>
      <c r="H49">
        <v>3.3700000000000001E-2</v>
      </c>
      <c r="I49">
        <v>3.6200000000000003E-2</v>
      </c>
      <c r="J49">
        <v>3.39E-2</v>
      </c>
      <c r="K49">
        <v>60.415999999999997</v>
      </c>
      <c r="L49">
        <v>0.95850000000000002</v>
      </c>
      <c r="M49">
        <v>3.9800000000000002E-2</v>
      </c>
      <c r="N49">
        <v>1347</v>
      </c>
      <c r="O49">
        <v>313</v>
      </c>
      <c r="P49">
        <v>42.709400000000002</v>
      </c>
      <c r="Q49">
        <v>3.3700000000000001E-2</v>
      </c>
      <c r="R49">
        <v>1.0674999999999999</v>
      </c>
      <c r="S49">
        <v>0.93679999999999997</v>
      </c>
      <c r="T49">
        <v>0.95020000000000004</v>
      </c>
    </row>
    <row r="50" spans="1:20" x14ac:dyDescent="0.25">
      <c r="A50">
        <v>49</v>
      </c>
      <c r="B50">
        <v>2E-3</v>
      </c>
      <c r="C50">
        <v>0</v>
      </c>
      <c r="D50">
        <v>0.1714</v>
      </c>
      <c r="E50">
        <v>2.9325999999999999</v>
      </c>
      <c r="F50">
        <v>0.6764</v>
      </c>
      <c r="G50">
        <v>5.3900000000000003E-2</v>
      </c>
      <c r="H50">
        <v>4.4900000000000002E-2</v>
      </c>
      <c r="I50">
        <v>5.5899999999999998E-2</v>
      </c>
      <c r="J50">
        <v>4.6199999999999998E-2</v>
      </c>
      <c r="K50">
        <v>174.90350000000001</v>
      </c>
      <c r="L50">
        <v>0.86809999999999998</v>
      </c>
      <c r="M50">
        <v>6.0299999999999999E-2</v>
      </c>
      <c r="N50">
        <v>1305</v>
      </c>
      <c r="O50">
        <v>319</v>
      </c>
      <c r="P50">
        <v>26.565100000000001</v>
      </c>
      <c r="Q50">
        <v>4.4699999999999997E-2</v>
      </c>
      <c r="R50">
        <v>1.2098</v>
      </c>
      <c r="S50">
        <v>0.8266</v>
      </c>
      <c r="T50">
        <v>0.94479999999999997</v>
      </c>
    </row>
    <row r="51" spans="1:20" s="1" customFormat="1" x14ac:dyDescent="0.25">
      <c r="A51" s="1">
        <v>50</v>
      </c>
      <c r="B51" s="1">
        <v>6.9999999999999999E-4</v>
      </c>
      <c r="C51" s="1">
        <v>0</v>
      </c>
      <c r="D51" s="1">
        <v>0.1111</v>
      </c>
      <c r="E51" s="1">
        <v>2.3302999999999998</v>
      </c>
      <c r="F51" s="1">
        <v>0.68759999999999999</v>
      </c>
      <c r="G51" s="1">
        <v>3.5999999999999997E-2</v>
      </c>
      <c r="H51" s="1">
        <v>2.7E-2</v>
      </c>
      <c r="I51" s="1">
        <v>3.78E-2</v>
      </c>
      <c r="J51" s="1">
        <v>2.4199999999999999E-2</v>
      </c>
      <c r="K51" s="1">
        <v>172.54929999999999</v>
      </c>
      <c r="L51" s="1">
        <v>0.72960000000000003</v>
      </c>
      <c r="M51" s="1">
        <v>3.9300000000000002E-2</v>
      </c>
      <c r="N51" s="1">
        <v>1038</v>
      </c>
      <c r="O51" s="1">
        <v>306</v>
      </c>
      <c r="P51" s="1">
        <v>149.03620000000001</v>
      </c>
      <c r="Q51" s="1">
        <v>2.6599999999999999E-2</v>
      </c>
      <c r="R51" s="1">
        <v>1.5634999999999999</v>
      </c>
      <c r="S51" s="1">
        <v>0.63959999999999995</v>
      </c>
      <c r="T51" s="1">
        <v>0.84519999999999995</v>
      </c>
    </row>
    <row r="52" spans="1:20" x14ac:dyDescent="0.25">
      <c r="A52">
        <v>51</v>
      </c>
      <c r="B52">
        <v>2.5000000000000001E-3</v>
      </c>
      <c r="C52">
        <v>0</v>
      </c>
      <c r="D52">
        <v>0.19309999999999999</v>
      </c>
      <c r="E52">
        <v>1.1303000000000001</v>
      </c>
      <c r="F52">
        <v>0.70109999999999995</v>
      </c>
      <c r="G52">
        <v>6.0699999999999997E-2</v>
      </c>
      <c r="H52">
        <v>5.1700000000000003E-2</v>
      </c>
      <c r="I52">
        <v>6.1400000000000003E-2</v>
      </c>
      <c r="J52">
        <v>5.1499999999999997E-2</v>
      </c>
      <c r="K52">
        <v>175.05840000000001</v>
      </c>
      <c r="L52">
        <v>0.83709999999999996</v>
      </c>
      <c r="M52">
        <v>6.6400000000000001E-2</v>
      </c>
      <c r="N52">
        <v>503</v>
      </c>
      <c r="O52">
        <v>330</v>
      </c>
      <c r="P52">
        <v>23.962499999999999</v>
      </c>
      <c r="Q52">
        <v>4.9500000000000002E-2</v>
      </c>
      <c r="R52">
        <v>1.1908000000000001</v>
      </c>
      <c r="S52">
        <v>0.83979999999999999</v>
      </c>
      <c r="T52">
        <v>0.93179999999999996</v>
      </c>
    </row>
    <row r="53" spans="1:20" x14ac:dyDescent="0.25">
      <c r="A53">
        <v>52</v>
      </c>
      <c r="B53">
        <v>1.6999999999999999E-3</v>
      </c>
      <c r="C53">
        <v>0</v>
      </c>
      <c r="D53">
        <v>0.15479999999999999</v>
      </c>
      <c r="E53">
        <v>2.3325999999999998</v>
      </c>
      <c r="F53">
        <v>0.71689999999999998</v>
      </c>
      <c r="G53">
        <v>4.9399999999999999E-2</v>
      </c>
      <c r="H53">
        <v>4.0399999999999998E-2</v>
      </c>
      <c r="I53">
        <v>5.1700000000000003E-2</v>
      </c>
      <c r="J53">
        <v>4.1500000000000002E-2</v>
      </c>
      <c r="K53">
        <v>12.7788</v>
      </c>
      <c r="L53">
        <v>0.88490000000000002</v>
      </c>
      <c r="M53">
        <v>5.67E-2</v>
      </c>
      <c r="N53">
        <v>1039</v>
      </c>
      <c r="O53">
        <v>336</v>
      </c>
      <c r="P53">
        <v>33.690100000000001</v>
      </c>
      <c r="Q53">
        <v>4.0399999999999998E-2</v>
      </c>
      <c r="R53">
        <v>1.2462</v>
      </c>
      <c r="S53">
        <v>0.80249999999999999</v>
      </c>
      <c r="T53">
        <v>0.94220000000000004</v>
      </c>
    </row>
    <row r="54" spans="1:20" x14ac:dyDescent="0.25">
      <c r="A54">
        <v>53</v>
      </c>
      <c r="B54">
        <v>1.6999999999999999E-3</v>
      </c>
      <c r="C54">
        <v>0</v>
      </c>
      <c r="D54">
        <v>0.15609999999999999</v>
      </c>
      <c r="E54">
        <v>1.6584000000000001</v>
      </c>
      <c r="F54">
        <v>0.73029999999999995</v>
      </c>
      <c r="G54">
        <v>4.7199999999999999E-2</v>
      </c>
      <c r="H54">
        <v>4.2700000000000002E-2</v>
      </c>
      <c r="I54">
        <v>4.9099999999999998E-2</v>
      </c>
      <c r="J54">
        <v>4.3999999999999997E-2</v>
      </c>
      <c r="K54">
        <v>41.432699999999997</v>
      </c>
      <c r="L54">
        <v>0.87519999999999998</v>
      </c>
      <c r="M54">
        <v>5.62E-2</v>
      </c>
      <c r="N54">
        <v>739</v>
      </c>
      <c r="O54">
        <v>343</v>
      </c>
      <c r="P54">
        <v>36.869900000000001</v>
      </c>
      <c r="Q54">
        <v>4.2700000000000002E-2</v>
      </c>
      <c r="R54">
        <v>1.1177999999999999</v>
      </c>
      <c r="S54">
        <v>0.89459999999999995</v>
      </c>
      <c r="T54">
        <v>0.94650000000000001</v>
      </c>
    </row>
    <row r="55" spans="1:20" x14ac:dyDescent="0.25">
      <c r="A55">
        <v>54</v>
      </c>
      <c r="B55">
        <v>2.2000000000000001E-3</v>
      </c>
      <c r="C55">
        <v>0</v>
      </c>
      <c r="D55">
        <v>0.17460000000000001</v>
      </c>
      <c r="E55">
        <v>3.0516999999999999</v>
      </c>
      <c r="F55">
        <v>0.73929999999999996</v>
      </c>
      <c r="G55">
        <v>4.9399999999999999E-2</v>
      </c>
      <c r="H55">
        <v>5.1700000000000003E-2</v>
      </c>
      <c r="I55">
        <v>5.67E-2</v>
      </c>
      <c r="J55">
        <v>4.9399999999999999E-2</v>
      </c>
      <c r="K55">
        <v>62.988199999999999</v>
      </c>
      <c r="L55">
        <v>0.90549999999999997</v>
      </c>
      <c r="M55">
        <v>6.25E-2</v>
      </c>
      <c r="N55">
        <v>1358</v>
      </c>
      <c r="O55">
        <v>349</v>
      </c>
      <c r="P55">
        <v>37.694200000000002</v>
      </c>
      <c r="Q55">
        <v>4.8399999999999999E-2</v>
      </c>
      <c r="R55">
        <v>1.1484000000000001</v>
      </c>
      <c r="S55">
        <v>0.87080000000000002</v>
      </c>
      <c r="T55">
        <v>0.95389999999999997</v>
      </c>
    </row>
    <row r="56" spans="1:20" x14ac:dyDescent="0.25">
      <c r="A56">
        <v>55</v>
      </c>
      <c r="B56">
        <v>3.3999999999999998E-3</v>
      </c>
      <c r="C56">
        <v>0</v>
      </c>
      <c r="D56">
        <v>0.22090000000000001</v>
      </c>
      <c r="E56">
        <v>1.3528</v>
      </c>
      <c r="F56">
        <v>0.75060000000000004</v>
      </c>
      <c r="G56">
        <v>6.2899999999999998E-2</v>
      </c>
      <c r="H56">
        <v>6.0699999999999997E-2</v>
      </c>
      <c r="I56">
        <v>6.7599999999999993E-2</v>
      </c>
      <c r="J56">
        <v>6.4899999999999999E-2</v>
      </c>
      <c r="K56">
        <v>10.5251</v>
      </c>
      <c r="L56">
        <v>0.88719999999999999</v>
      </c>
      <c r="M56">
        <v>7.7299999999999994E-2</v>
      </c>
      <c r="N56">
        <v>602</v>
      </c>
      <c r="O56">
        <v>356</v>
      </c>
      <c r="P56">
        <v>35.537700000000001</v>
      </c>
      <c r="Q56">
        <v>6.0699999999999997E-2</v>
      </c>
      <c r="R56">
        <v>1.0415000000000001</v>
      </c>
      <c r="S56">
        <v>0.96020000000000005</v>
      </c>
      <c r="T56">
        <v>0.96809999999999996</v>
      </c>
    </row>
    <row r="57" spans="1:20" x14ac:dyDescent="0.25">
      <c r="A57">
        <v>56</v>
      </c>
      <c r="B57">
        <v>2.5000000000000001E-3</v>
      </c>
      <c r="C57">
        <v>0</v>
      </c>
      <c r="D57">
        <v>0.18990000000000001</v>
      </c>
      <c r="E57">
        <v>0.3775</v>
      </c>
      <c r="F57">
        <v>0.77529999999999999</v>
      </c>
      <c r="G57">
        <v>5.8400000000000001E-2</v>
      </c>
      <c r="H57">
        <v>5.1700000000000003E-2</v>
      </c>
      <c r="I57">
        <v>6.13E-2</v>
      </c>
      <c r="J57">
        <v>5.1400000000000001E-2</v>
      </c>
      <c r="K57">
        <v>2.7395</v>
      </c>
      <c r="L57">
        <v>0.86180000000000001</v>
      </c>
      <c r="M57">
        <v>6.5600000000000006E-2</v>
      </c>
      <c r="N57">
        <v>171</v>
      </c>
      <c r="O57">
        <v>365</v>
      </c>
      <c r="P57">
        <v>38.046999999999997</v>
      </c>
      <c r="Q57">
        <v>5.1700000000000003E-2</v>
      </c>
      <c r="R57">
        <v>1.1935</v>
      </c>
      <c r="S57">
        <v>0.83789999999999998</v>
      </c>
      <c r="T57">
        <v>0.94779999999999998</v>
      </c>
    </row>
    <row r="58" spans="1:20" x14ac:dyDescent="0.25">
      <c r="A58">
        <v>57</v>
      </c>
      <c r="B58">
        <v>1.6999999999999999E-3</v>
      </c>
      <c r="C58">
        <v>0</v>
      </c>
      <c r="D58">
        <v>0.15029999999999999</v>
      </c>
      <c r="E58">
        <v>1.1101000000000001</v>
      </c>
      <c r="F58">
        <v>0.81120000000000003</v>
      </c>
      <c r="G58">
        <v>4.4900000000000002E-2</v>
      </c>
      <c r="H58">
        <v>4.2700000000000002E-2</v>
      </c>
      <c r="I58">
        <v>4.6600000000000003E-2</v>
      </c>
      <c r="J58">
        <v>4.5100000000000001E-2</v>
      </c>
      <c r="K58">
        <v>0.71989999999999998</v>
      </c>
      <c r="L58">
        <v>0.91900000000000004</v>
      </c>
      <c r="M58">
        <v>5.1299999999999998E-2</v>
      </c>
      <c r="N58">
        <v>494</v>
      </c>
      <c r="O58">
        <v>374</v>
      </c>
      <c r="P58">
        <v>28.8108</v>
      </c>
      <c r="Q58">
        <v>4.2700000000000002E-2</v>
      </c>
      <c r="R58">
        <v>1.0318000000000001</v>
      </c>
      <c r="S58">
        <v>0.96919999999999995</v>
      </c>
      <c r="T58">
        <v>0.95340000000000003</v>
      </c>
    </row>
    <row r="59" spans="1:20" x14ac:dyDescent="0.25">
      <c r="A59">
        <v>58</v>
      </c>
      <c r="B59">
        <v>1.2999999999999999E-3</v>
      </c>
      <c r="C59">
        <v>0</v>
      </c>
      <c r="D59">
        <v>0.13569999999999999</v>
      </c>
      <c r="E59">
        <v>0.91239999999999999</v>
      </c>
      <c r="F59">
        <v>0.82020000000000004</v>
      </c>
      <c r="G59">
        <v>3.15E-2</v>
      </c>
      <c r="H59">
        <v>4.4900000000000002E-2</v>
      </c>
      <c r="I59">
        <v>4.8800000000000003E-2</v>
      </c>
      <c r="J59">
        <v>3.2899999999999999E-2</v>
      </c>
      <c r="K59">
        <v>83.874300000000005</v>
      </c>
      <c r="L59">
        <v>0.86160000000000003</v>
      </c>
      <c r="M59">
        <v>4.99E-2</v>
      </c>
      <c r="N59">
        <v>406</v>
      </c>
      <c r="O59">
        <v>384</v>
      </c>
      <c r="P59">
        <v>54.162300000000002</v>
      </c>
      <c r="Q59">
        <v>3.15E-2</v>
      </c>
      <c r="R59">
        <v>1.4823999999999999</v>
      </c>
      <c r="S59">
        <v>0.67459999999999998</v>
      </c>
      <c r="T59">
        <v>0.95420000000000005</v>
      </c>
    </row>
    <row r="60" spans="1:20" x14ac:dyDescent="0.25">
      <c r="A60">
        <v>59</v>
      </c>
      <c r="B60">
        <v>1.1000000000000001E-3</v>
      </c>
      <c r="C60">
        <v>0</v>
      </c>
      <c r="D60">
        <v>0.12590000000000001</v>
      </c>
      <c r="E60">
        <v>2.1978</v>
      </c>
      <c r="F60">
        <v>0.8337</v>
      </c>
      <c r="G60">
        <v>4.0399999999999998E-2</v>
      </c>
      <c r="H60">
        <v>3.3700000000000001E-2</v>
      </c>
      <c r="I60">
        <v>4.3400000000000001E-2</v>
      </c>
      <c r="J60">
        <v>3.2199999999999999E-2</v>
      </c>
      <c r="K60">
        <v>11.2735</v>
      </c>
      <c r="L60">
        <v>0.86829999999999996</v>
      </c>
      <c r="M60">
        <v>4.7399999999999998E-2</v>
      </c>
      <c r="N60">
        <v>978</v>
      </c>
      <c r="O60">
        <v>384</v>
      </c>
      <c r="P60">
        <v>31.429600000000001</v>
      </c>
      <c r="Q60">
        <v>3.3000000000000002E-2</v>
      </c>
      <c r="R60">
        <v>1.3473999999999999</v>
      </c>
      <c r="S60">
        <v>0.74219999999999997</v>
      </c>
      <c r="T60">
        <v>0.9254</v>
      </c>
    </row>
    <row r="61" spans="1:20" s="1" customFormat="1" x14ac:dyDescent="0.25">
      <c r="A61" s="1">
        <v>60</v>
      </c>
      <c r="B61" s="1">
        <v>5.0000000000000001E-4</v>
      </c>
      <c r="C61" s="1">
        <v>0</v>
      </c>
      <c r="D61" s="1">
        <v>0.1021</v>
      </c>
      <c r="E61" s="1">
        <v>3.1798000000000002</v>
      </c>
      <c r="F61" s="1">
        <v>0.83599999999999997</v>
      </c>
      <c r="G61" s="1">
        <v>3.3700000000000001E-2</v>
      </c>
      <c r="H61" s="1">
        <v>2.2499999999999999E-2</v>
      </c>
      <c r="I61" s="1">
        <v>3.44E-2</v>
      </c>
      <c r="J61" s="1">
        <v>1.8700000000000001E-2</v>
      </c>
      <c r="K61" s="1">
        <v>3.9106999999999998</v>
      </c>
      <c r="L61" s="1">
        <v>0.60819999999999996</v>
      </c>
      <c r="M61" s="1">
        <v>3.7199999999999997E-2</v>
      </c>
      <c r="N61" s="1">
        <v>1415</v>
      </c>
      <c r="O61" s="1">
        <v>382</v>
      </c>
      <c r="P61" s="1">
        <v>25.0169</v>
      </c>
      <c r="Q61" s="1">
        <v>2.2499999999999999E-2</v>
      </c>
      <c r="R61" s="1">
        <v>1.8354999999999999</v>
      </c>
      <c r="S61" s="1">
        <v>0.54479999999999995</v>
      </c>
      <c r="T61" s="1">
        <v>0.75760000000000005</v>
      </c>
    </row>
    <row r="62" spans="1:20" x14ac:dyDescent="0.25">
      <c r="A62">
        <v>61</v>
      </c>
      <c r="B62">
        <v>2.0999999999999999E-3</v>
      </c>
      <c r="C62">
        <v>0</v>
      </c>
      <c r="D62">
        <v>0.1741</v>
      </c>
      <c r="E62">
        <v>2.8763999999999998</v>
      </c>
      <c r="F62">
        <v>0.8427</v>
      </c>
      <c r="G62">
        <v>5.3900000000000003E-2</v>
      </c>
      <c r="H62">
        <v>4.4900000000000002E-2</v>
      </c>
      <c r="I62">
        <v>5.7200000000000001E-2</v>
      </c>
      <c r="J62">
        <v>4.6899999999999997E-2</v>
      </c>
      <c r="K62">
        <v>178.9907</v>
      </c>
      <c r="L62">
        <v>0.87339999999999995</v>
      </c>
      <c r="M62">
        <v>6.1100000000000002E-2</v>
      </c>
      <c r="N62">
        <v>1281</v>
      </c>
      <c r="O62">
        <v>392</v>
      </c>
      <c r="P62">
        <v>36.0274</v>
      </c>
      <c r="Q62">
        <v>4.4900000000000002E-2</v>
      </c>
      <c r="R62">
        <v>1.2208000000000001</v>
      </c>
      <c r="S62">
        <v>0.81910000000000005</v>
      </c>
      <c r="T62">
        <v>0.95099999999999996</v>
      </c>
    </row>
    <row r="63" spans="1:20" x14ac:dyDescent="0.25">
      <c r="A63">
        <v>62</v>
      </c>
      <c r="B63">
        <v>2.3999999999999998E-3</v>
      </c>
      <c r="C63">
        <v>0</v>
      </c>
      <c r="D63">
        <v>0.186</v>
      </c>
      <c r="E63">
        <v>0.45839999999999997</v>
      </c>
      <c r="F63">
        <v>0.85840000000000005</v>
      </c>
      <c r="G63">
        <v>6.2899999999999998E-2</v>
      </c>
      <c r="H63">
        <v>4.7199999999999999E-2</v>
      </c>
      <c r="I63">
        <v>6.6299999999999998E-2</v>
      </c>
      <c r="J63">
        <v>4.6899999999999997E-2</v>
      </c>
      <c r="K63">
        <v>167.25620000000001</v>
      </c>
      <c r="L63">
        <v>0.88600000000000001</v>
      </c>
      <c r="M63">
        <v>6.7599999999999993E-2</v>
      </c>
      <c r="N63">
        <v>204</v>
      </c>
      <c r="O63">
        <v>389</v>
      </c>
      <c r="P63">
        <v>158.5523</v>
      </c>
      <c r="Q63">
        <v>4.6199999999999998E-2</v>
      </c>
      <c r="R63">
        <v>1.4135</v>
      </c>
      <c r="S63">
        <v>0.70750000000000002</v>
      </c>
      <c r="T63">
        <v>0.95169999999999999</v>
      </c>
    </row>
    <row r="64" spans="1:20" x14ac:dyDescent="0.25">
      <c r="A64">
        <v>63</v>
      </c>
      <c r="B64">
        <v>2.2000000000000001E-3</v>
      </c>
      <c r="C64">
        <v>0</v>
      </c>
      <c r="D64">
        <v>0.1772</v>
      </c>
      <c r="E64">
        <v>1.8337000000000001</v>
      </c>
      <c r="F64">
        <v>0.85840000000000005</v>
      </c>
      <c r="G64">
        <v>4.7199999999999999E-2</v>
      </c>
      <c r="H64">
        <v>5.3900000000000003E-2</v>
      </c>
      <c r="I64">
        <v>5.91E-2</v>
      </c>
      <c r="J64">
        <v>4.7699999999999999E-2</v>
      </c>
      <c r="K64">
        <v>74.290099999999995</v>
      </c>
      <c r="L64">
        <v>0.88680000000000003</v>
      </c>
      <c r="M64">
        <v>6.3899999999999998E-2</v>
      </c>
      <c r="N64">
        <v>817</v>
      </c>
      <c r="O64">
        <v>405</v>
      </c>
      <c r="P64">
        <v>50.710599999999999</v>
      </c>
      <c r="Q64">
        <v>4.5900000000000003E-2</v>
      </c>
      <c r="R64">
        <v>1.238</v>
      </c>
      <c r="S64">
        <v>0.80779999999999996</v>
      </c>
      <c r="T64">
        <v>0.95540000000000003</v>
      </c>
    </row>
    <row r="65" spans="1:20" x14ac:dyDescent="0.25">
      <c r="A65">
        <v>64</v>
      </c>
      <c r="B65">
        <v>2.5999999999999999E-3</v>
      </c>
      <c r="C65">
        <v>0</v>
      </c>
      <c r="D65">
        <v>0.18940000000000001</v>
      </c>
      <c r="E65">
        <v>1.982</v>
      </c>
      <c r="F65">
        <v>0.86519999999999997</v>
      </c>
      <c r="G65">
        <v>6.0699999999999997E-2</v>
      </c>
      <c r="H65">
        <v>4.7199999999999999E-2</v>
      </c>
      <c r="I65">
        <v>6.4600000000000005E-2</v>
      </c>
      <c r="J65">
        <v>5.0299999999999997E-2</v>
      </c>
      <c r="K65">
        <v>176.21420000000001</v>
      </c>
      <c r="L65">
        <v>0.89329999999999998</v>
      </c>
      <c r="M65">
        <v>6.6699999999999995E-2</v>
      </c>
      <c r="N65">
        <v>883</v>
      </c>
      <c r="O65">
        <v>388</v>
      </c>
      <c r="P65">
        <v>147.38079999999999</v>
      </c>
      <c r="Q65">
        <v>4.7199999999999999E-2</v>
      </c>
      <c r="R65">
        <v>1.2835000000000001</v>
      </c>
      <c r="S65">
        <v>0.77910000000000001</v>
      </c>
      <c r="T65">
        <v>0.96189999999999998</v>
      </c>
    </row>
    <row r="66" spans="1:20" s="1" customFormat="1" x14ac:dyDescent="0.25">
      <c r="A66" s="1">
        <v>65</v>
      </c>
      <c r="B66" s="1">
        <v>1E-3</v>
      </c>
      <c r="C66" s="1">
        <v>0</v>
      </c>
      <c r="D66" s="1">
        <v>0.15659999999999999</v>
      </c>
      <c r="E66" s="1">
        <v>2.1909999999999998</v>
      </c>
      <c r="F66" s="1">
        <v>0.88759999999999994</v>
      </c>
      <c r="G66" s="1">
        <v>5.8400000000000001E-2</v>
      </c>
      <c r="H66" s="1">
        <v>3.3700000000000001E-2</v>
      </c>
      <c r="I66" s="1">
        <v>5.67E-2</v>
      </c>
      <c r="J66" s="1">
        <v>2.2700000000000001E-2</v>
      </c>
      <c r="K66" s="1">
        <v>11.087199999999999</v>
      </c>
      <c r="L66" s="1">
        <v>0.51739999999999997</v>
      </c>
      <c r="M66" s="1">
        <v>6.1800000000000001E-2</v>
      </c>
      <c r="N66" s="1">
        <v>975</v>
      </c>
      <c r="O66" s="1">
        <v>410</v>
      </c>
      <c r="P66" s="1">
        <v>19.093499999999999</v>
      </c>
      <c r="Q66" s="1">
        <v>3.0099999999999998E-2</v>
      </c>
      <c r="R66" s="1">
        <v>2.4981</v>
      </c>
      <c r="S66" s="1">
        <v>0.40029999999999999</v>
      </c>
      <c r="T66" s="1">
        <v>0.72729999999999995</v>
      </c>
    </row>
    <row r="67" spans="1:20" s="1" customFormat="1" x14ac:dyDescent="0.25">
      <c r="A67" s="1">
        <v>66</v>
      </c>
      <c r="B67" s="1">
        <v>1.5E-3</v>
      </c>
      <c r="C67" s="1">
        <v>0</v>
      </c>
      <c r="D67" s="1">
        <v>0.18729999999999999</v>
      </c>
      <c r="E67" s="1">
        <v>3.5999999999999997E-2</v>
      </c>
      <c r="F67" s="1">
        <v>0.8921</v>
      </c>
      <c r="G67" s="1">
        <v>5.3900000000000003E-2</v>
      </c>
      <c r="H67" s="1">
        <v>4.2700000000000002E-2</v>
      </c>
      <c r="I67" s="1">
        <v>4.6199999999999998E-2</v>
      </c>
      <c r="J67" s="1">
        <v>4.1500000000000002E-2</v>
      </c>
      <c r="K67" s="1">
        <v>53.6083</v>
      </c>
      <c r="L67" s="1">
        <v>0.53900000000000003</v>
      </c>
      <c r="M67" s="1">
        <v>6.0299999999999999E-2</v>
      </c>
      <c r="N67" s="1">
        <v>16</v>
      </c>
      <c r="O67" s="1">
        <v>413</v>
      </c>
      <c r="P67" s="1">
        <v>26.565100000000001</v>
      </c>
      <c r="Q67" s="1">
        <v>4.2700000000000002E-2</v>
      </c>
      <c r="R67" s="1">
        <v>1.1117999999999999</v>
      </c>
      <c r="S67" s="1">
        <v>0.89939999999999998</v>
      </c>
      <c r="T67" s="1">
        <v>0.77200000000000002</v>
      </c>
    </row>
    <row r="68" spans="1:20" s="1" customFormat="1" x14ac:dyDescent="0.25">
      <c r="A68" s="1">
        <v>67</v>
      </c>
      <c r="B68" s="1">
        <v>6.9999999999999999E-4</v>
      </c>
      <c r="C68" s="1">
        <v>0</v>
      </c>
      <c r="D68" s="1">
        <v>0.11799999999999999</v>
      </c>
      <c r="E68" s="1">
        <v>2.9618000000000002</v>
      </c>
      <c r="F68" s="1">
        <v>0.90110000000000001</v>
      </c>
      <c r="G68" s="1">
        <v>4.0399999999999998E-2</v>
      </c>
      <c r="H68" s="1">
        <v>2.7E-2</v>
      </c>
      <c r="I68" s="1">
        <v>3.9399999999999998E-2</v>
      </c>
      <c r="J68" s="1">
        <v>2.1100000000000001E-2</v>
      </c>
      <c r="K68" s="1">
        <v>160.24160000000001</v>
      </c>
      <c r="L68" s="1">
        <v>0.58750000000000002</v>
      </c>
      <c r="M68" s="1">
        <v>4.2200000000000001E-2</v>
      </c>
      <c r="N68" s="1">
        <v>1318</v>
      </c>
      <c r="O68" s="1">
        <v>405</v>
      </c>
      <c r="P68" s="1">
        <v>154.7989</v>
      </c>
      <c r="Q68" s="1">
        <v>2.47E-2</v>
      </c>
      <c r="R68" s="1">
        <v>1.8681000000000001</v>
      </c>
      <c r="S68" s="1">
        <v>0.5353</v>
      </c>
      <c r="T68" s="1">
        <v>0.76329999999999998</v>
      </c>
    </row>
    <row r="69" spans="1:20" s="1" customFormat="1" x14ac:dyDescent="0.25">
      <c r="A69" s="1">
        <v>68</v>
      </c>
      <c r="B69" s="1">
        <v>1E-3</v>
      </c>
      <c r="C69" s="1">
        <v>0</v>
      </c>
      <c r="D69" s="1">
        <v>0.17380000000000001</v>
      </c>
      <c r="E69" s="1">
        <v>2.1978</v>
      </c>
      <c r="F69" s="1">
        <v>0.90790000000000004</v>
      </c>
      <c r="G69" s="1">
        <v>5.3900000000000003E-2</v>
      </c>
      <c r="H69" s="1">
        <v>4.0399999999999998E-2</v>
      </c>
      <c r="I69" s="1">
        <v>5.1400000000000001E-2</v>
      </c>
      <c r="J69" s="1">
        <v>2.5600000000000001E-2</v>
      </c>
      <c r="K69" s="1">
        <v>30.4893</v>
      </c>
      <c r="L69" s="1">
        <v>0.43049999999999999</v>
      </c>
      <c r="M69" s="1">
        <v>6.1100000000000002E-2</v>
      </c>
      <c r="N69" s="1">
        <v>979</v>
      </c>
      <c r="O69" s="1">
        <v>420</v>
      </c>
      <c r="P69" s="1">
        <v>36.0274</v>
      </c>
      <c r="Q69" s="1">
        <v>3.3799999999999997E-2</v>
      </c>
      <c r="R69" s="1">
        <v>2.0074999999999998</v>
      </c>
      <c r="S69" s="1">
        <v>0.49809999999999999</v>
      </c>
      <c r="T69" s="1">
        <v>0.68679999999999997</v>
      </c>
    </row>
    <row r="70" spans="1:20" x14ac:dyDescent="0.25">
      <c r="A70">
        <v>69</v>
      </c>
      <c r="B70">
        <v>2.8999999999999998E-3</v>
      </c>
      <c r="C70">
        <v>0</v>
      </c>
      <c r="D70">
        <v>0.20549999999999999</v>
      </c>
      <c r="E70">
        <v>1.3258000000000001</v>
      </c>
      <c r="F70">
        <v>0.92579999999999996</v>
      </c>
      <c r="G70">
        <v>6.5199999999999994E-2</v>
      </c>
      <c r="H70">
        <v>4.9399999999999999E-2</v>
      </c>
      <c r="I70">
        <v>7.0800000000000002E-2</v>
      </c>
      <c r="J70">
        <v>5.2499999999999998E-2</v>
      </c>
      <c r="K70">
        <v>174.6927</v>
      </c>
      <c r="L70">
        <v>0.86839999999999995</v>
      </c>
      <c r="M70">
        <v>7.2900000000000006E-2</v>
      </c>
      <c r="N70">
        <v>591</v>
      </c>
      <c r="O70">
        <v>414</v>
      </c>
      <c r="P70">
        <v>146.3099</v>
      </c>
      <c r="Q70">
        <v>4.9399999999999999E-2</v>
      </c>
      <c r="R70">
        <v>1.3486</v>
      </c>
      <c r="S70">
        <v>0.74150000000000005</v>
      </c>
      <c r="T70">
        <v>0.96489999999999998</v>
      </c>
    </row>
    <row r="71" spans="1:20" s="1" customFormat="1" x14ac:dyDescent="0.25">
      <c r="A71" s="1">
        <v>70</v>
      </c>
      <c r="B71" s="1">
        <v>8.0000000000000004E-4</v>
      </c>
      <c r="C71" s="1">
        <v>0</v>
      </c>
      <c r="D71" s="1">
        <v>0.12330000000000001</v>
      </c>
      <c r="E71" s="1">
        <v>2.9596</v>
      </c>
      <c r="F71" s="1">
        <v>0.93030000000000002</v>
      </c>
      <c r="G71" s="1">
        <v>4.0399999999999998E-2</v>
      </c>
      <c r="H71" s="1">
        <v>2.47E-2</v>
      </c>
      <c r="I71" s="1">
        <v>4.36E-2</v>
      </c>
      <c r="J71" s="1">
        <v>2.3599999999999999E-2</v>
      </c>
      <c r="K71" s="1">
        <v>2.0550000000000002</v>
      </c>
      <c r="L71" s="1">
        <v>0.66779999999999995</v>
      </c>
      <c r="M71" s="1">
        <v>4.4299999999999999E-2</v>
      </c>
      <c r="N71" s="1">
        <v>1317</v>
      </c>
      <c r="O71" s="1">
        <v>422</v>
      </c>
      <c r="P71" s="1">
        <v>23.962499999999999</v>
      </c>
      <c r="Q71" s="1">
        <v>2.47E-2</v>
      </c>
      <c r="R71" s="1">
        <v>1.8445</v>
      </c>
      <c r="S71" s="1">
        <v>0.54210000000000003</v>
      </c>
      <c r="T71" s="1">
        <v>0.84209999999999996</v>
      </c>
    </row>
    <row r="72" spans="1:20" x14ac:dyDescent="0.25">
      <c r="A72">
        <v>71</v>
      </c>
      <c r="B72">
        <v>2.8E-3</v>
      </c>
      <c r="C72">
        <v>0</v>
      </c>
      <c r="D72">
        <v>0.2132</v>
      </c>
      <c r="E72">
        <v>0.65169999999999995</v>
      </c>
      <c r="F72">
        <v>0.93259999999999998</v>
      </c>
      <c r="G72">
        <v>7.4200000000000002E-2</v>
      </c>
      <c r="H72">
        <v>4.2700000000000002E-2</v>
      </c>
      <c r="I72">
        <v>7.8299999999999995E-2</v>
      </c>
      <c r="J72">
        <v>4.5600000000000002E-2</v>
      </c>
      <c r="K72">
        <v>178.17490000000001</v>
      </c>
      <c r="L72">
        <v>0.77490000000000003</v>
      </c>
      <c r="M72">
        <v>7.85E-2</v>
      </c>
      <c r="N72">
        <v>290</v>
      </c>
      <c r="O72">
        <v>430</v>
      </c>
      <c r="P72">
        <v>23.6294</v>
      </c>
      <c r="Q72">
        <v>4.2700000000000002E-2</v>
      </c>
      <c r="R72">
        <v>1.7179</v>
      </c>
      <c r="S72">
        <v>0.58209999999999995</v>
      </c>
      <c r="T72">
        <v>0.95030000000000003</v>
      </c>
    </row>
    <row r="73" spans="1:20" x14ac:dyDescent="0.25">
      <c r="A73">
        <v>72</v>
      </c>
      <c r="B73">
        <v>5.9999999999999995E-4</v>
      </c>
      <c r="C73">
        <v>0</v>
      </c>
      <c r="D73">
        <v>0.1109</v>
      </c>
      <c r="E73">
        <v>0.32579999999999998</v>
      </c>
      <c r="F73">
        <v>0.94610000000000005</v>
      </c>
      <c r="G73">
        <v>4.2700000000000002E-2</v>
      </c>
      <c r="H73">
        <v>2.92E-2</v>
      </c>
      <c r="I73">
        <v>4.65E-2</v>
      </c>
      <c r="J73">
        <v>1.7000000000000001E-2</v>
      </c>
      <c r="K73">
        <v>151.6174</v>
      </c>
      <c r="L73">
        <v>0.63449999999999995</v>
      </c>
      <c r="M73">
        <v>4.6300000000000001E-2</v>
      </c>
      <c r="N73">
        <v>145</v>
      </c>
      <c r="O73">
        <v>424</v>
      </c>
      <c r="P73">
        <v>157.16630000000001</v>
      </c>
      <c r="Q73">
        <v>1.9599999999999999E-2</v>
      </c>
      <c r="R73">
        <v>2.7347999999999999</v>
      </c>
      <c r="S73">
        <v>0.36570000000000003</v>
      </c>
      <c r="T73">
        <v>0.83109999999999995</v>
      </c>
    </row>
    <row r="74" spans="1:20" x14ac:dyDescent="0.25">
      <c r="A74">
        <v>73</v>
      </c>
      <c r="B74">
        <v>2.0999999999999999E-3</v>
      </c>
      <c r="C74">
        <v>0</v>
      </c>
      <c r="D74">
        <v>0.1812</v>
      </c>
      <c r="E74">
        <v>1.9100999999999999</v>
      </c>
      <c r="F74">
        <v>0.99329999999999996</v>
      </c>
      <c r="G74">
        <v>6.0699999999999997E-2</v>
      </c>
      <c r="H74">
        <v>4.0399999999999998E-2</v>
      </c>
      <c r="I74">
        <v>6.3899999999999998E-2</v>
      </c>
      <c r="J74">
        <v>4.2799999999999998E-2</v>
      </c>
      <c r="K74">
        <v>172.58529999999999</v>
      </c>
      <c r="L74">
        <v>0.82150000000000001</v>
      </c>
      <c r="M74">
        <v>6.7500000000000004E-2</v>
      </c>
      <c r="N74">
        <v>850</v>
      </c>
      <c r="O74">
        <v>444</v>
      </c>
      <c r="P74">
        <v>150.01840000000001</v>
      </c>
      <c r="Q74">
        <v>4.0399999999999998E-2</v>
      </c>
      <c r="R74">
        <v>1.4931000000000001</v>
      </c>
      <c r="S74">
        <v>0.66969999999999996</v>
      </c>
      <c r="T74">
        <v>0.94869999999999999</v>
      </c>
    </row>
    <row r="75" spans="1:20" x14ac:dyDescent="0.25">
      <c r="A75">
        <v>74</v>
      </c>
      <c r="B75">
        <v>1.2999999999999999E-3</v>
      </c>
      <c r="C75">
        <v>0</v>
      </c>
      <c r="D75">
        <v>0.1336</v>
      </c>
      <c r="E75">
        <v>3.2382</v>
      </c>
      <c r="F75">
        <v>1</v>
      </c>
      <c r="G75">
        <v>3.8199999999999998E-2</v>
      </c>
      <c r="H75">
        <v>4.0399999999999998E-2</v>
      </c>
      <c r="I75">
        <v>4.1300000000000003E-2</v>
      </c>
      <c r="J75">
        <v>3.9399999999999998E-2</v>
      </c>
      <c r="K75">
        <v>113.9528</v>
      </c>
      <c r="L75">
        <v>0.89939999999999998</v>
      </c>
      <c r="M75">
        <v>4.6300000000000001E-2</v>
      </c>
      <c r="N75">
        <v>1443</v>
      </c>
      <c r="O75">
        <v>446</v>
      </c>
      <c r="P75">
        <v>129.09389999999999</v>
      </c>
      <c r="Q75">
        <v>3.8199999999999998E-2</v>
      </c>
      <c r="R75">
        <v>1.0489999999999999</v>
      </c>
      <c r="S75">
        <v>0.95330000000000004</v>
      </c>
      <c r="T75">
        <v>0.93359999999999999</v>
      </c>
    </row>
    <row r="76" spans="1:20" x14ac:dyDescent="0.25">
      <c r="A76">
        <v>75</v>
      </c>
      <c r="B76">
        <v>1.4E-3</v>
      </c>
      <c r="C76">
        <v>0</v>
      </c>
      <c r="D76">
        <v>0.1482</v>
      </c>
      <c r="E76">
        <v>0.59099999999999997</v>
      </c>
      <c r="F76">
        <v>1.0157</v>
      </c>
      <c r="G76">
        <v>4.7199999999999999E-2</v>
      </c>
      <c r="H76">
        <v>3.5999999999999997E-2</v>
      </c>
      <c r="I76">
        <v>4.6100000000000002E-2</v>
      </c>
      <c r="J76">
        <v>3.7400000000000003E-2</v>
      </c>
      <c r="K76">
        <v>5.7234999999999996</v>
      </c>
      <c r="L76">
        <v>0.77449999999999997</v>
      </c>
      <c r="M76">
        <v>5.0500000000000003E-2</v>
      </c>
      <c r="N76">
        <v>263</v>
      </c>
      <c r="O76">
        <v>465</v>
      </c>
      <c r="P76">
        <v>20.854500000000002</v>
      </c>
      <c r="Q76">
        <v>3.5999999999999997E-2</v>
      </c>
      <c r="R76">
        <v>1.2347999999999999</v>
      </c>
      <c r="S76">
        <v>0.80989999999999995</v>
      </c>
      <c r="T76">
        <v>0.90239999999999998</v>
      </c>
    </row>
    <row r="77" spans="1:20" x14ac:dyDescent="0.25">
      <c r="A77">
        <v>76</v>
      </c>
      <c r="B77">
        <v>2.5999999999999999E-3</v>
      </c>
      <c r="C77">
        <v>0</v>
      </c>
      <c r="D77">
        <v>0.19389999999999999</v>
      </c>
      <c r="E77">
        <v>2.2944</v>
      </c>
      <c r="F77">
        <v>1.0471999999999999</v>
      </c>
      <c r="G77">
        <v>6.2899999999999998E-2</v>
      </c>
      <c r="H77">
        <v>4.7199999999999999E-2</v>
      </c>
      <c r="I77">
        <v>6.6299999999999998E-2</v>
      </c>
      <c r="J77">
        <v>4.9200000000000001E-2</v>
      </c>
      <c r="K77">
        <v>175.78020000000001</v>
      </c>
      <c r="L77">
        <v>0.85750000000000004</v>
      </c>
      <c r="M77">
        <v>6.7900000000000002E-2</v>
      </c>
      <c r="N77">
        <v>1023</v>
      </c>
      <c r="O77">
        <v>467</v>
      </c>
      <c r="P77">
        <v>145.7843</v>
      </c>
      <c r="Q77">
        <v>4.6699999999999998E-2</v>
      </c>
      <c r="R77">
        <v>1.3467</v>
      </c>
      <c r="S77">
        <v>0.74260000000000004</v>
      </c>
      <c r="T77">
        <v>0.9486</v>
      </c>
    </row>
    <row r="78" spans="1:20" x14ac:dyDescent="0.25">
      <c r="A78">
        <v>77</v>
      </c>
      <c r="B78">
        <v>1.2999999999999999E-3</v>
      </c>
      <c r="C78">
        <v>0</v>
      </c>
      <c r="D78">
        <v>0.13170000000000001</v>
      </c>
      <c r="E78">
        <v>0.65169999999999995</v>
      </c>
      <c r="F78">
        <v>1.0539000000000001</v>
      </c>
      <c r="G78">
        <v>3.5999999999999997E-2</v>
      </c>
      <c r="H78">
        <v>4.0399999999999998E-2</v>
      </c>
      <c r="I78">
        <v>4.3400000000000001E-2</v>
      </c>
      <c r="J78">
        <v>3.7999999999999999E-2</v>
      </c>
      <c r="K78">
        <v>81.357600000000005</v>
      </c>
      <c r="L78">
        <v>0.93959999999999999</v>
      </c>
      <c r="M78">
        <v>4.6300000000000001E-2</v>
      </c>
      <c r="N78">
        <v>292</v>
      </c>
      <c r="O78">
        <v>486</v>
      </c>
      <c r="P78">
        <v>50.906100000000002</v>
      </c>
      <c r="Q78">
        <v>3.5999999999999997E-2</v>
      </c>
      <c r="R78">
        <v>1.1416999999999999</v>
      </c>
      <c r="S78">
        <v>0.87590000000000001</v>
      </c>
      <c r="T78">
        <v>0.96440000000000003</v>
      </c>
    </row>
    <row r="79" spans="1:20" x14ac:dyDescent="0.25">
      <c r="A79">
        <v>78</v>
      </c>
      <c r="B79">
        <v>1.9E-3</v>
      </c>
      <c r="C79">
        <v>0</v>
      </c>
      <c r="D79">
        <v>0.1754</v>
      </c>
      <c r="E79">
        <v>3.1145999999999998</v>
      </c>
      <c r="F79">
        <v>1.0607</v>
      </c>
      <c r="G79">
        <v>6.2899999999999998E-2</v>
      </c>
      <c r="H79">
        <v>3.5999999999999997E-2</v>
      </c>
      <c r="I79">
        <v>6.6000000000000003E-2</v>
      </c>
      <c r="J79">
        <v>3.6799999999999999E-2</v>
      </c>
      <c r="K79">
        <v>177.41159999999999</v>
      </c>
      <c r="L79">
        <v>0.77990000000000004</v>
      </c>
      <c r="M79">
        <v>6.54E-2</v>
      </c>
      <c r="N79">
        <v>1386</v>
      </c>
      <c r="O79">
        <v>484</v>
      </c>
      <c r="P79">
        <v>15.945399999999999</v>
      </c>
      <c r="Q79">
        <v>3.5999999999999997E-2</v>
      </c>
      <c r="R79">
        <v>1.7919</v>
      </c>
      <c r="S79">
        <v>0.55810000000000004</v>
      </c>
      <c r="T79">
        <v>0.93559999999999999</v>
      </c>
    </row>
    <row r="80" spans="1:20" x14ac:dyDescent="0.25">
      <c r="A80">
        <v>79</v>
      </c>
      <c r="B80">
        <v>4.1000000000000003E-3</v>
      </c>
      <c r="C80">
        <v>0</v>
      </c>
      <c r="D80">
        <v>0.245</v>
      </c>
      <c r="E80">
        <v>1.8</v>
      </c>
      <c r="F80">
        <v>1.0697000000000001</v>
      </c>
      <c r="G80">
        <v>8.3099999999999993E-2</v>
      </c>
      <c r="H80">
        <v>5.8400000000000001E-2</v>
      </c>
      <c r="I80">
        <v>8.6699999999999999E-2</v>
      </c>
      <c r="J80">
        <v>6.0199999999999997E-2</v>
      </c>
      <c r="K80">
        <v>171.82320000000001</v>
      </c>
      <c r="L80">
        <v>0.85860000000000003</v>
      </c>
      <c r="M80">
        <v>8.7499999999999994E-2</v>
      </c>
      <c r="N80">
        <v>803</v>
      </c>
      <c r="O80">
        <v>480</v>
      </c>
      <c r="P80">
        <v>150.80250000000001</v>
      </c>
      <c r="Q80">
        <v>5.79E-2</v>
      </c>
      <c r="R80">
        <v>1.4404999999999999</v>
      </c>
      <c r="S80">
        <v>0.69420000000000004</v>
      </c>
      <c r="T80">
        <v>0.95750000000000002</v>
      </c>
    </row>
    <row r="81" spans="1:20" x14ac:dyDescent="0.25">
      <c r="A81">
        <v>80</v>
      </c>
      <c r="B81">
        <v>1.5E-3</v>
      </c>
      <c r="C81">
        <v>0</v>
      </c>
      <c r="D81">
        <v>0.14649999999999999</v>
      </c>
      <c r="E81">
        <v>3.2673999999999999</v>
      </c>
      <c r="F81">
        <v>1.0697000000000001</v>
      </c>
      <c r="G81">
        <v>4.4900000000000002E-2</v>
      </c>
      <c r="H81">
        <v>3.8199999999999998E-2</v>
      </c>
      <c r="I81">
        <v>4.7699999999999999E-2</v>
      </c>
      <c r="J81">
        <v>4.0399999999999998E-2</v>
      </c>
      <c r="K81">
        <v>177.13910000000001</v>
      </c>
      <c r="L81">
        <v>0.88649999999999995</v>
      </c>
      <c r="M81">
        <v>5.2400000000000002E-2</v>
      </c>
      <c r="N81">
        <v>1454</v>
      </c>
      <c r="O81">
        <v>490</v>
      </c>
      <c r="P81">
        <v>30.963799999999999</v>
      </c>
      <c r="Q81">
        <v>3.8199999999999998E-2</v>
      </c>
      <c r="R81">
        <v>1.1815</v>
      </c>
      <c r="S81">
        <v>0.84640000000000004</v>
      </c>
      <c r="T81">
        <v>0.95089999999999997</v>
      </c>
    </row>
    <row r="82" spans="1:20" x14ac:dyDescent="0.25">
      <c r="A82">
        <v>81</v>
      </c>
      <c r="B82">
        <v>1.1999999999999999E-3</v>
      </c>
      <c r="C82">
        <v>0</v>
      </c>
      <c r="D82">
        <v>0.12520000000000001</v>
      </c>
      <c r="E82">
        <v>3.1888000000000001</v>
      </c>
      <c r="F82">
        <v>1.0719000000000001</v>
      </c>
      <c r="G82">
        <v>3.8199999999999998E-2</v>
      </c>
      <c r="H82">
        <v>3.8199999999999998E-2</v>
      </c>
      <c r="I82">
        <v>3.9899999999999998E-2</v>
      </c>
      <c r="J82">
        <v>3.6900000000000002E-2</v>
      </c>
      <c r="K82">
        <v>26.891400000000001</v>
      </c>
      <c r="L82">
        <v>0.92759999999999998</v>
      </c>
      <c r="M82">
        <v>4.36E-2</v>
      </c>
      <c r="N82">
        <v>1420</v>
      </c>
      <c r="O82">
        <v>492</v>
      </c>
      <c r="P82">
        <v>34.508499999999998</v>
      </c>
      <c r="Q82">
        <v>3.8199999999999998E-2</v>
      </c>
      <c r="R82">
        <v>1.0797000000000001</v>
      </c>
      <c r="S82">
        <v>0.92620000000000002</v>
      </c>
      <c r="T82">
        <v>0.93279999999999996</v>
      </c>
    </row>
    <row r="83" spans="1:20" x14ac:dyDescent="0.25">
      <c r="A83">
        <v>82</v>
      </c>
      <c r="B83">
        <v>1.1999999999999999E-3</v>
      </c>
      <c r="C83">
        <v>0</v>
      </c>
      <c r="D83">
        <v>0.12909999999999999</v>
      </c>
      <c r="E83">
        <v>0.86070000000000002</v>
      </c>
      <c r="F83">
        <v>1.0989</v>
      </c>
      <c r="G83">
        <v>3.5999999999999997E-2</v>
      </c>
      <c r="H83">
        <v>4.0399999999999998E-2</v>
      </c>
      <c r="I83">
        <v>4.2599999999999999E-2</v>
      </c>
      <c r="J83">
        <v>3.6400000000000002E-2</v>
      </c>
      <c r="K83">
        <v>113.68049999999999</v>
      </c>
      <c r="L83">
        <v>0.91739999999999999</v>
      </c>
      <c r="M83">
        <v>4.7399999999999998E-2</v>
      </c>
      <c r="N83">
        <v>384</v>
      </c>
      <c r="O83">
        <v>489</v>
      </c>
      <c r="P83">
        <v>121.42959999999999</v>
      </c>
      <c r="Q83">
        <v>3.5999999999999997E-2</v>
      </c>
      <c r="R83">
        <v>1.1704000000000001</v>
      </c>
      <c r="S83">
        <v>0.85440000000000005</v>
      </c>
      <c r="T83">
        <v>0.9526</v>
      </c>
    </row>
    <row r="84" spans="1:20" x14ac:dyDescent="0.25">
      <c r="A84">
        <v>83</v>
      </c>
      <c r="B84">
        <v>1.2999999999999999E-3</v>
      </c>
      <c r="C84">
        <v>0</v>
      </c>
      <c r="D84">
        <v>0.13439999999999999</v>
      </c>
      <c r="E84">
        <v>2.4315000000000002</v>
      </c>
      <c r="F84">
        <v>1.1033999999999999</v>
      </c>
      <c r="G84">
        <v>3.5999999999999997E-2</v>
      </c>
      <c r="H84">
        <v>4.0399999999999998E-2</v>
      </c>
      <c r="I84">
        <v>4.3299999999999998E-2</v>
      </c>
      <c r="J84">
        <v>3.7400000000000003E-2</v>
      </c>
      <c r="K84">
        <v>74.180999999999997</v>
      </c>
      <c r="L84">
        <v>0.88560000000000005</v>
      </c>
      <c r="M84">
        <v>4.8099999999999997E-2</v>
      </c>
      <c r="N84">
        <v>1083</v>
      </c>
      <c r="O84">
        <v>508</v>
      </c>
      <c r="P84">
        <v>52.5946</v>
      </c>
      <c r="Q84">
        <v>3.5999999999999997E-2</v>
      </c>
      <c r="R84">
        <v>1.1573</v>
      </c>
      <c r="S84">
        <v>0.86409999999999998</v>
      </c>
      <c r="T84">
        <v>0.94740000000000002</v>
      </c>
    </row>
    <row r="85" spans="1:20" x14ac:dyDescent="0.25">
      <c r="A85">
        <v>84</v>
      </c>
      <c r="B85">
        <v>2.7000000000000001E-3</v>
      </c>
      <c r="C85">
        <v>0</v>
      </c>
      <c r="D85">
        <v>0.19439999999999999</v>
      </c>
      <c r="E85">
        <v>3.0562</v>
      </c>
      <c r="F85">
        <v>1.1033999999999999</v>
      </c>
      <c r="G85">
        <v>5.1700000000000003E-2</v>
      </c>
      <c r="H85">
        <v>6.0699999999999997E-2</v>
      </c>
      <c r="I85">
        <v>6.5799999999999997E-2</v>
      </c>
      <c r="J85">
        <v>5.2900000000000003E-2</v>
      </c>
      <c r="K85">
        <v>73.746399999999994</v>
      </c>
      <c r="L85">
        <v>0.90800000000000003</v>
      </c>
      <c r="M85">
        <v>6.9199999999999998E-2</v>
      </c>
      <c r="N85">
        <v>1362</v>
      </c>
      <c r="O85">
        <v>517</v>
      </c>
      <c r="P85">
        <v>54.246099999999998</v>
      </c>
      <c r="Q85">
        <v>5.11E-2</v>
      </c>
      <c r="R85">
        <v>1.2439</v>
      </c>
      <c r="S85">
        <v>0.80389999999999995</v>
      </c>
      <c r="T85">
        <v>0.96350000000000002</v>
      </c>
    </row>
    <row r="86" spans="1:20" x14ac:dyDescent="0.25">
      <c r="A86">
        <v>85</v>
      </c>
      <c r="B86">
        <v>2.3E-3</v>
      </c>
      <c r="C86">
        <v>0</v>
      </c>
      <c r="D86">
        <v>0.18229999999999999</v>
      </c>
      <c r="E86">
        <v>0.76400000000000001</v>
      </c>
      <c r="F86">
        <v>1.1213</v>
      </c>
      <c r="G86">
        <v>6.2899999999999998E-2</v>
      </c>
      <c r="H86">
        <v>4.2700000000000002E-2</v>
      </c>
      <c r="I86">
        <v>6.6600000000000006E-2</v>
      </c>
      <c r="J86">
        <v>4.3499999999999997E-2</v>
      </c>
      <c r="K86">
        <v>2.1322000000000001</v>
      </c>
      <c r="L86">
        <v>0.86140000000000005</v>
      </c>
      <c r="M86">
        <v>6.8500000000000005E-2</v>
      </c>
      <c r="N86">
        <v>340</v>
      </c>
      <c r="O86">
        <v>515</v>
      </c>
      <c r="P86">
        <v>23.198599999999999</v>
      </c>
      <c r="Q86">
        <v>4.24E-2</v>
      </c>
      <c r="R86">
        <v>1.5291999999999999</v>
      </c>
      <c r="S86">
        <v>0.65390000000000004</v>
      </c>
      <c r="T86">
        <v>0.94950000000000001</v>
      </c>
    </row>
    <row r="87" spans="1:20" x14ac:dyDescent="0.25">
      <c r="A87">
        <v>86</v>
      </c>
      <c r="B87">
        <v>2.2000000000000001E-3</v>
      </c>
      <c r="C87">
        <v>0</v>
      </c>
      <c r="D87">
        <v>0.1759</v>
      </c>
      <c r="E87">
        <v>2.5257999999999998</v>
      </c>
      <c r="F87">
        <v>1.1528</v>
      </c>
      <c r="G87">
        <v>4.7199999999999999E-2</v>
      </c>
      <c r="H87">
        <v>5.3900000000000003E-2</v>
      </c>
      <c r="I87">
        <v>5.6899999999999999E-2</v>
      </c>
      <c r="J87">
        <v>4.9700000000000001E-2</v>
      </c>
      <c r="K87">
        <v>94.324299999999994</v>
      </c>
      <c r="L87">
        <v>0.9022</v>
      </c>
      <c r="M87">
        <v>6.1699999999999998E-2</v>
      </c>
      <c r="N87">
        <v>1127</v>
      </c>
      <c r="O87">
        <v>513</v>
      </c>
      <c r="P87">
        <v>123.1113</v>
      </c>
      <c r="Q87">
        <v>4.7199999999999999E-2</v>
      </c>
      <c r="R87">
        <v>1.1451</v>
      </c>
      <c r="S87">
        <v>0.87329999999999997</v>
      </c>
      <c r="T87">
        <v>0.95650000000000002</v>
      </c>
    </row>
    <row r="88" spans="1:20" x14ac:dyDescent="0.25">
      <c r="A88">
        <v>87</v>
      </c>
      <c r="B88">
        <v>1.2999999999999999E-3</v>
      </c>
      <c r="C88">
        <v>0</v>
      </c>
      <c r="D88">
        <v>0.13039999999999999</v>
      </c>
      <c r="E88">
        <v>3.3639999999999999</v>
      </c>
      <c r="F88">
        <v>1.1662999999999999</v>
      </c>
      <c r="G88">
        <v>4.0399999999999998E-2</v>
      </c>
      <c r="H88">
        <v>3.5999999999999997E-2</v>
      </c>
      <c r="I88">
        <v>4.2900000000000001E-2</v>
      </c>
      <c r="J88">
        <v>3.7199999999999997E-2</v>
      </c>
      <c r="K88">
        <v>0.77869999999999995</v>
      </c>
      <c r="L88">
        <v>0.92510000000000003</v>
      </c>
      <c r="M88">
        <v>4.5499999999999999E-2</v>
      </c>
      <c r="N88">
        <v>1497</v>
      </c>
      <c r="O88">
        <v>533</v>
      </c>
      <c r="P88">
        <v>32.905200000000001</v>
      </c>
      <c r="Q88">
        <v>3.5999999999999997E-2</v>
      </c>
      <c r="R88">
        <v>1.1535</v>
      </c>
      <c r="S88">
        <v>0.8669</v>
      </c>
      <c r="T88">
        <v>0.95199999999999996</v>
      </c>
    </row>
    <row r="89" spans="1:20" x14ac:dyDescent="0.25">
      <c r="A89">
        <v>88</v>
      </c>
      <c r="B89">
        <v>1.1999999999999999E-3</v>
      </c>
      <c r="C89">
        <v>0</v>
      </c>
      <c r="D89">
        <v>0.1331</v>
      </c>
      <c r="E89">
        <v>1.8539000000000001</v>
      </c>
      <c r="F89">
        <v>1.1842999999999999</v>
      </c>
      <c r="G89">
        <v>4.0399999999999998E-2</v>
      </c>
      <c r="H89">
        <v>3.5999999999999997E-2</v>
      </c>
      <c r="I89">
        <v>4.3499999999999997E-2</v>
      </c>
      <c r="J89">
        <v>3.5000000000000003E-2</v>
      </c>
      <c r="K89">
        <v>171.7748</v>
      </c>
      <c r="L89">
        <v>0.84940000000000004</v>
      </c>
      <c r="M89">
        <v>4.7699999999999999E-2</v>
      </c>
      <c r="N89">
        <v>826</v>
      </c>
      <c r="O89">
        <v>527</v>
      </c>
      <c r="P89">
        <v>135</v>
      </c>
      <c r="Q89">
        <v>3.4599999999999999E-2</v>
      </c>
      <c r="R89">
        <v>1.2423</v>
      </c>
      <c r="S89">
        <v>0.80489999999999995</v>
      </c>
      <c r="T89">
        <v>0.92759999999999998</v>
      </c>
    </row>
    <row r="90" spans="1:20" x14ac:dyDescent="0.25">
      <c r="A90">
        <v>89</v>
      </c>
      <c r="B90">
        <v>2.5999999999999999E-3</v>
      </c>
      <c r="C90">
        <v>0</v>
      </c>
      <c r="D90">
        <v>0.18940000000000001</v>
      </c>
      <c r="E90">
        <v>0.62019999999999997</v>
      </c>
      <c r="F90">
        <v>1.2</v>
      </c>
      <c r="G90">
        <v>5.62E-2</v>
      </c>
      <c r="H90">
        <v>5.1700000000000003E-2</v>
      </c>
      <c r="I90">
        <v>5.9700000000000003E-2</v>
      </c>
      <c r="J90">
        <v>5.5300000000000002E-2</v>
      </c>
      <c r="K90">
        <v>171.20359999999999</v>
      </c>
      <c r="L90">
        <v>0.90749999999999997</v>
      </c>
      <c r="M90">
        <v>6.5500000000000003E-2</v>
      </c>
      <c r="N90">
        <v>276</v>
      </c>
      <c r="O90">
        <v>553</v>
      </c>
      <c r="P90">
        <v>30.963799999999999</v>
      </c>
      <c r="Q90">
        <v>5.1700000000000003E-2</v>
      </c>
      <c r="R90">
        <v>1.0795999999999999</v>
      </c>
      <c r="S90">
        <v>0.92630000000000001</v>
      </c>
      <c r="T90">
        <v>0.96430000000000005</v>
      </c>
    </row>
    <row r="91" spans="1:20" x14ac:dyDescent="0.25">
      <c r="A91">
        <v>90</v>
      </c>
      <c r="B91">
        <v>2.3999999999999998E-3</v>
      </c>
      <c r="C91">
        <v>0</v>
      </c>
      <c r="D91">
        <v>0.17910000000000001</v>
      </c>
      <c r="E91">
        <v>1.0787</v>
      </c>
      <c r="F91">
        <v>1.2021999999999999</v>
      </c>
      <c r="G91">
        <v>4.7199999999999999E-2</v>
      </c>
      <c r="H91">
        <v>5.62E-2</v>
      </c>
      <c r="I91">
        <v>6.0699999999999997E-2</v>
      </c>
      <c r="J91">
        <v>4.9500000000000002E-2</v>
      </c>
      <c r="K91">
        <v>80.089100000000002</v>
      </c>
      <c r="L91">
        <v>0.92390000000000005</v>
      </c>
      <c r="M91">
        <v>6.3E-2</v>
      </c>
      <c r="N91">
        <v>483</v>
      </c>
      <c r="O91">
        <v>559</v>
      </c>
      <c r="P91">
        <v>55.1755</v>
      </c>
      <c r="Q91">
        <v>4.7199999999999999E-2</v>
      </c>
      <c r="R91">
        <v>1.2252000000000001</v>
      </c>
      <c r="S91">
        <v>0.81620000000000004</v>
      </c>
      <c r="T91">
        <v>0.96689999999999998</v>
      </c>
    </row>
    <row r="92" spans="1:20" x14ac:dyDescent="0.25">
      <c r="A92">
        <v>91</v>
      </c>
      <c r="B92">
        <v>1.6999999999999999E-3</v>
      </c>
      <c r="C92">
        <v>0</v>
      </c>
      <c r="D92">
        <v>0.15659999999999999</v>
      </c>
      <c r="E92">
        <v>3.2292000000000001</v>
      </c>
      <c r="F92">
        <v>1.2270000000000001</v>
      </c>
      <c r="G92">
        <v>5.3900000000000003E-2</v>
      </c>
      <c r="H92">
        <v>3.8199999999999998E-2</v>
      </c>
      <c r="I92">
        <v>5.6899999999999999E-2</v>
      </c>
      <c r="J92">
        <v>3.7900000000000003E-2</v>
      </c>
      <c r="K92">
        <v>175.3477</v>
      </c>
      <c r="L92">
        <v>0.86660000000000004</v>
      </c>
      <c r="M92">
        <v>5.6399999999999999E-2</v>
      </c>
      <c r="N92">
        <v>1437</v>
      </c>
      <c r="O92">
        <v>561</v>
      </c>
      <c r="P92">
        <v>23.4986</v>
      </c>
      <c r="Q92">
        <v>3.8199999999999998E-2</v>
      </c>
      <c r="R92">
        <v>1.5005999999999999</v>
      </c>
      <c r="S92">
        <v>0.66639999999999999</v>
      </c>
      <c r="T92">
        <v>0.94630000000000003</v>
      </c>
    </row>
    <row r="93" spans="1:20" x14ac:dyDescent="0.25">
      <c r="A93">
        <v>92</v>
      </c>
      <c r="B93">
        <v>1.1000000000000001E-3</v>
      </c>
      <c r="C93">
        <v>0</v>
      </c>
      <c r="D93">
        <v>0.13039999999999999</v>
      </c>
      <c r="E93">
        <v>2.2000000000000001E-3</v>
      </c>
      <c r="F93">
        <v>1.2403999999999999</v>
      </c>
      <c r="G93">
        <v>3.15E-2</v>
      </c>
      <c r="H93">
        <v>4.0399999999999998E-2</v>
      </c>
      <c r="I93">
        <v>4.1599999999999998E-2</v>
      </c>
      <c r="J93">
        <v>3.2800000000000003E-2</v>
      </c>
      <c r="K93">
        <v>89.933400000000006</v>
      </c>
      <c r="L93">
        <v>0.79079999999999995</v>
      </c>
      <c r="M93">
        <v>4.5499999999999999E-2</v>
      </c>
      <c r="N93">
        <v>1</v>
      </c>
      <c r="O93">
        <v>552</v>
      </c>
      <c r="P93">
        <v>122.90519999999999</v>
      </c>
      <c r="Q93">
        <v>3.15E-2</v>
      </c>
      <c r="R93">
        <v>1.2672000000000001</v>
      </c>
      <c r="S93">
        <v>0.78910000000000002</v>
      </c>
      <c r="T93">
        <v>0.91379999999999995</v>
      </c>
    </row>
    <row r="94" spans="1:20" x14ac:dyDescent="0.25">
      <c r="A94">
        <v>93</v>
      </c>
      <c r="B94">
        <v>3.5999999999999999E-3</v>
      </c>
      <c r="C94">
        <v>0</v>
      </c>
      <c r="D94">
        <v>0.2278</v>
      </c>
      <c r="E94">
        <v>0.60450000000000004</v>
      </c>
      <c r="F94">
        <v>1.2539</v>
      </c>
      <c r="G94">
        <v>6.5199999999999994E-2</v>
      </c>
      <c r="H94">
        <v>6.5199999999999994E-2</v>
      </c>
      <c r="I94">
        <v>7.0599999999999996E-2</v>
      </c>
      <c r="J94">
        <v>6.4799999999999996E-2</v>
      </c>
      <c r="K94">
        <v>48.605800000000002</v>
      </c>
      <c r="L94">
        <v>0.86970000000000003</v>
      </c>
      <c r="M94">
        <v>7.9500000000000001E-2</v>
      </c>
      <c r="N94">
        <v>270</v>
      </c>
      <c r="O94">
        <v>584</v>
      </c>
      <c r="P94">
        <v>47.290599999999998</v>
      </c>
      <c r="Q94">
        <v>6.3700000000000007E-2</v>
      </c>
      <c r="R94">
        <v>1.0891999999999999</v>
      </c>
      <c r="S94">
        <v>0.91810000000000003</v>
      </c>
      <c r="T94">
        <v>0.95179999999999998</v>
      </c>
    </row>
    <row r="95" spans="1:20" x14ac:dyDescent="0.25">
      <c r="A95">
        <v>94</v>
      </c>
      <c r="B95">
        <v>1.1999999999999999E-3</v>
      </c>
      <c r="C95">
        <v>0</v>
      </c>
      <c r="D95">
        <v>0.13039999999999999</v>
      </c>
      <c r="E95">
        <v>1.7101</v>
      </c>
      <c r="F95">
        <v>1.2562</v>
      </c>
      <c r="G95">
        <v>4.2700000000000002E-2</v>
      </c>
      <c r="H95">
        <v>3.3700000000000001E-2</v>
      </c>
      <c r="I95">
        <v>4.5199999999999997E-2</v>
      </c>
      <c r="J95">
        <v>3.2800000000000003E-2</v>
      </c>
      <c r="K95">
        <v>159.5471</v>
      </c>
      <c r="L95">
        <v>0.86170000000000002</v>
      </c>
      <c r="M95">
        <v>4.8599999999999997E-2</v>
      </c>
      <c r="N95">
        <v>762</v>
      </c>
      <c r="O95">
        <v>561</v>
      </c>
      <c r="P95">
        <v>146.3099</v>
      </c>
      <c r="Q95">
        <v>3.32E-2</v>
      </c>
      <c r="R95">
        <v>1.3773</v>
      </c>
      <c r="S95">
        <v>0.72609999999999997</v>
      </c>
      <c r="T95">
        <v>0.93149999999999999</v>
      </c>
    </row>
    <row r="96" spans="1:20" x14ac:dyDescent="0.25">
      <c r="A96">
        <v>95</v>
      </c>
      <c r="B96">
        <v>2E-3</v>
      </c>
      <c r="C96">
        <v>0</v>
      </c>
      <c r="D96">
        <v>0.1696</v>
      </c>
      <c r="E96">
        <v>3.1393</v>
      </c>
      <c r="F96">
        <v>1.2606999999999999</v>
      </c>
      <c r="G96">
        <v>5.3900000000000003E-2</v>
      </c>
      <c r="H96">
        <v>4.2700000000000002E-2</v>
      </c>
      <c r="I96">
        <v>5.6500000000000002E-2</v>
      </c>
      <c r="J96">
        <v>4.5499999999999999E-2</v>
      </c>
      <c r="K96">
        <v>169.6311</v>
      </c>
      <c r="L96">
        <v>0.88280000000000003</v>
      </c>
      <c r="M96">
        <v>6.0699999999999997E-2</v>
      </c>
      <c r="N96">
        <v>1399</v>
      </c>
      <c r="O96">
        <v>562</v>
      </c>
      <c r="P96">
        <v>141.00899999999999</v>
      </c>
      <c r="Q96">
        <v>4.2700000000000002E-2</v>
      </c>
      <c r="R96">
        <v>1.2418</v>
      </c>
      <c r="S96">
        <v>0.80530000000000002</v>
      </c>
      <c r="T96">
        <v>0.95809999999999995</v>
      </c>
    </row>
    <row r="97" spans="1:20" x14ac:dyDescent="0.25">
      <c r="A97">
        <v>96</v>
      </c>
      <c r="B97">
        <v>1.1000000000000001E-3</v>
      </c>
      <c r="C97">
        <v>0</v>
      </c>
      <c r="D97">
        <v>0.1241</v>
      </c>
      <c r="E97">
        <v>2.5392999999999999</v>
      </c>
      <c r="F97">
        <v>1.3056000000000001</v>
      </c>
      <c r="G97">
        <v>3.5999999999999997E-2</v>
      </c>
      <c r="H97">
        <v>3.5999999999999997E-2</v>
      </c>
      <c r="I97">
        <v>4.0599999999999997E-2</v>
      </c>
      <c r="J97">
        <v>3.4500000000000003E-2</v>
      </c>
      <c r="K97">
        <v>51.975900000000003</v>
      </c>
      <c r="L97">
        <v>0.89859999999999995</v>
      </c>
      <c r="M97">
        <v>4.4900000000000002E-2</v>
      </c>
      <c r="N97">
        <v>1130</v>
      </c>
      <c r="O97">
        <v>595</v>
      </c>
      <c r="P97">
        <v>36.869900000000001</v>
      </c>
      <c r="Q97">
        <v>3.5999999999999997E-2</v>
      </c>
      <c r="R97">
        <v>1.1744000000000001</v>
      </c>
      <c r="S97">
        <v>0.85150000000000003</v>
      </c>
      <c r="T97">
        <v>0.95609999999999995</v>
      </c>
    </row>
    <row r="98" spans="1:20" x14ac:dyDescent="0.25">
      <c r="A98">
        <v>97</v>
      </c>
      <c r="B98">
        <v>2.2000000000000001E-3</v>
      </c>
      <c r="C98">
        <v>0</v>
      </c>
      <c r="D98">
        <v>0.1759</v>
      </c>
      <c r="E98">
        <v>0.42020000000000002</v>
      </c>
      <c r="F98">
        <v>1.3371</v>
      </c>
      <c r="G98">
        <v>5.1700000000000003E-2</v>
      </c>
      <c r="H98">
        <v>4.9399999999999999E-2</v>
      </c>
      <c r="I98">
        <v>5.4199999999999998E-2</v>
      </c>
      <c r="J98">
        <v>5.0500000000000003E-2</v>
      </c>
      <c r="K98">
        <v>155.1891</v>
      </c>
      <c r="L98">
        <v>0.87350000000000005</v>
      </c>
      <c r="M98">
        <v>6.2199999999999998E-2</v>
      </c>
      <c r="N98">
        <v>190</v>
      </c>
      <c r="O98">
        <v>596</v>
      </c>
      <c r="P98">
        <v>130.60130000000001</v>
      </c>
      <c r="Q98">
        <v>4.8599999999999997E-2</v>
      </c>
      <c r="R98">
        <v>1.0721000000000001</v>
      </c>
      <c r="S98">
        <v>0.93279999999999996</v>
      </c>
      <c r="T98">
        <v>0.94350000000000001</v>
      </c>
    </row>
    <row r="99" spans="1:20" x14ac:dyDescent="0.25">
      <c r="A99">
        <v>98</v>
      </c>
      <c r="B99">
        <v>1.4E-3</v>
      </c>
      <c r="C99">
        <v>0</v>
      </c>
      <c r="D99">
        <v>0.1376</v>
      </c>
      <c r="E99">
        <v>1.0875999999999999</v>
      </c>
      <c r="F99">
        <v>1.3617999999999999</v>
      </c>
      <c r="G99">
        <v>3.5999999999999997E-2</v>
      </c>
      <c r="H99">
        <v>4.2700000000000002E-2</v>
      </c>
      <c r="I99">
        <v>4.5199999999999997E-2</v>
      </c>
      <c r="J99">
        <v>3.8899999999999997E-2</v>
      </c>
      <c r="K99">
        <v>98.475300000000004</v>
      </c>
      <c r="L99">
        <v>0.91559999999999997</v>
      </c>
      <c r="M99">
        <v>4.99E-2</v>
      </c>
      <c r="N99">
        <v>486</v>
      </c>
      <c r="O99">
        <v>606</v>
      </c>
      <c r="P99">
        <v>125.8377</v>
      </c>
      <c r="Q99">
        <v>3.5999999999999997E-2</v>
      </c>
      <c r="R99">
        <v>1.1620999999999999</v>
      </c>
      <c r="S99">
        <v>0.86050000000000004</v>
      </c>
      <c r="T99">
        <v>0.96299999999999997</v>
      </c>
    </row>
    <row r="100" spans="1:20" x14ac:dyDescent="0.25">
      <c r="A100">
        <v>99</v>
      </c>
      <c r="B100">
        <v>2.3E-3</v>
      </c>
      <c r="C100">
        <v>0</v>
      </c>
      <c r="D100">
        <v>0.17960000000000001</v>
      </c>
      <c r="E100">
        <v>2.6292</v>
      </c>
      <c r="F100">
        <v>1.3663000000000001</v>
      </c>
      <c r="G100">
        <v>4.9399999999999999E-2</v>
      </c>
      <c r="H100">
        <v>5.62E-2</v>
      </c>
      <c r="I100">
        <v>5.8700000000000002E-2</v>
      </c>
      <c r="J100">
        <v>5.0799999999999998E-2</v>
      </c>
      <c r="K100">
        <v>92.492800000000003</v>
      </c>
      <c r="L100">
        <v>0.91239999999999999</v>
      </c>
      <c r="M100">
        <v>6.2399999999999997E-2</v>
      </c>
      <c r="N100">
        <v>1174</v>
      </c>
      <c r="O100">
        <v>608</v>
      </c>
      <c r="P100">
        <v>120.2564</v>
      </c>
      <c r="Q100">
        <v>4.9399999999999999E-2</v>
      </c>
      <c r="R100">
        <v>1.1559999999999999</v>
      </c>
      <c r="S100">
        <v>0.86499999999999999</v>
      </c>
      <c r="T100">
        <v>0.95469999999999999</v>
      </c>
    </row>
    <row r="101" spans="1:20" x14ac:dyDescent="0.25">
      <c r="A101">
        <v>100</v>
      </c>
      <c r="B101">
        <v>2.3999999999999998E-3</v>
      </c>
      <c r="C101">
        <v>0</v>
      </c>
      <c r="D101">
        <v>0.1802</v>
      </c>
      <c r="E101">
        <v>1.6359999999999999</v>
      </c>
      <c r="F101">
        <v>1.3797999999999999</v>
      </c>
      <c r="G101">
        <v>5.1700000000000003E-2</v>
      </c>
      <c r="H101">
        <v>5.62E-2</v>
      </c>
      <c r="I101">
        <v>5.9499999999999997E-2</v>
      </c>
      <c r="J101">
        <v>5.0500000000000003E-2</v>
      </c>
      <c r="K101">
        <v>60.507899999999999</v>
      </c>
      <c r="L101">
        <v>0.91279999999999994</v>
      </c>
      <c r="M101">
        <v>6.3899999999999998E-2</v>
      </c>
      <c r="N101">
        <v>728</v>
      </c>
      <c r="O101">
        <v>635</v>
      </c>
      <c r="P101">
        <v>39.289400000000001</v>
      </c>
      <c r="Q101">
        <v>5.1700000000000003E-2</v>
      </c>
      <c r="R101">
        <v>1.1778</v>
      </c>
      <c r="S101">
        <v>0.84899999999999998</v>
      </c>
      <c r="T101">
        <v>0.95309999999999995</v>
      </c>
    </row>
    <row r="102" spans="1:20" x14ac:dyDescent="0.25">
      <c r="A102">
        <v>101</v>
      </c>
      <c r="B102">
        <v>1.5E-3</v>
      </c>
      <c r="C102">
        <v>0</v>
      </c>
      <c r="D102">
        <v>0.14899999999999999</v>
      </c>
      <c r="E102">
        <v>0.37980000000000003</v>
      </c>
      <c r="F102">
        <v>1.3865000000000001</v>
      </c>
      <c r="G102">
        <v>4.2700000000000002E-2</v>
      </c>
      <c r="H102">
        <v>4.4900000000000002E-2</v>
      </c>
      <c r="I102">
        <v>4.7300000000000002E-2</v>
      </c>
      <c r="J102">
        <v>3.9800000000000002E-2</v>
      </c>
      <c r="K102">
        <v>69.220399999999998</v>
      </c>
      <c r="L102">
        <v>0.83799999999999997</v>
      </c>
      <c r="M102">
        <v>5.1200000000000002E-2</v>
      </c>
      <c r="N102">
        <v>169</v>
      </c>
      <c r="O102">
        <v>633</v>
      </c>
      <c r="P102">
        <v>37.875</v>
      </c>
      <c r="Q102">
        <v>3.9800000000000002E-2</v>
      </c>
      <c r="R102">
        <v>1.1882999999999999</v>
      </c>
      <c r="S102">
        <v>0.84150000000000003</v>
      </c>
      <c r="T102">
        <v>0.91559999999999997</v>
      </c>
    </row>
    <row r="103" spans="1:20" x14ac:dyDescent="0.25">
      <c r="A103">
        <v>102</v>
      </c>
      <c r="B103">
        <v>2.5999999999999999E-3</v>
      </c>
      <c r="C103">
        <v>0</v>
      </c>
      <c r="D103">
        <v>0.18940000000000001</v>
      </c>
      <c r="E103">
        <v>2.7056</v>
      </c>
      <c r="F103">
        <v>1.3977999999999999</v>
      </c>
      <c r="G103">
        <v>5.3900000000000003E-2</v>
      </c>
      <c r="H103">
        <v>5.3900000000000003E-2</v>
      </c>
      <c r="I103">
        <v>5.8000000000000003E-2</v>
      </c>
      <c r="J103">
        <v>5.6800000000000003E-2</v>
      </c>
      <c r="K103">
        <v>20.630700000000001</v>
      </c>
      <c r="L103">
        <v>0.90569999999999995</v>
      </c>
      <c r="M103">
        <v>6.6100000000000006E-2</v>
      </c>
      <c r="N103">
        <v>1204</v>
      </c>
      <c r="O103">
        <v>642</v>
      </c>
      <c r="P103">
        <v>35.311199999999999</v>
      </c>
      <c r="Q103">
        <v>5.3900000000000003E-2</v>
      </c>
      <c r="R103">
        <v>1.0210999999999999</v>
      </c>
      <c r="S103">
        <v>0.97940000000000005</v>
      </c>
      <c r="T103">
        <v>0.96150000000000002</v>
      </c>
    </row>
    <row r="104" spans="1:20" x14ac:dyDescent="0.25">
      <c r="A104">
        <v>103</v>
      </c>
      <c r="B104">
        <v>1.8E-3</v>
      </c>
      <c r="C104">
        <v>0</v>
      </c>
      <c r="D104">
        <v>0.15479999999999999</v>
      </c>
      <c r="E104">
        <v>2.9079000000000002</v>
      </c>
      <c r="F104">
        <v>1.4179999999999999</v>
      </c>
      <c r="G104">
        <v>4.9399999999999999E-2</v>
      </c>
      <c r="H104">
        <v>4.0399999999999998E-2</v>
      </c>
      <c r="I104">
        <v>5.1900000000000002E-2</v>
      </c>
      <c r="J104">
        <v>4.3400000000000001E-2</v>
      </c>
      <c r="K104">
        <v>176.29490000000001</v>
      </c>
      <c r="L104">
        <v>0.92730000000000001</v>
      </c>
      <c r="M104">
        <v>5.3600000000000002E-2</v>
      </c>
      <c r="N104">
        <v>1294</v>
      </c>
      <c r="O104">
        <v>635</v>
      </c>
      <c r="P104">
        <v>146.9761</v>
      </c>
      <c r="Q104">
        <v>4.0399999999999998E-2</v>
      </c>
      <c r="R104">
        <v>1.1970000000000001</v>
      </c>
      <c r="S104">
        <v>0.83540000000000003</v>
      </c>
      <c r="T104">
        <v>0.96289999999999998</v>
      </c>
    </row>
    <row r="105" spans="1:20" x14ac:dyDescent="0.25">
      <c r="A105">
        <v>104</v>
      </c>
      <c r="B105">
        <v>1.1999999999999999E-3</v>
      </c>
      <c r="C105">
        <v>0</v>
      </c>
      <c r="D105">
        <v>0.13250000000000001</v>
      </c>
      <c r="E105">
        <v>2.9596</v>
      </c>
      <c r="F105">
        <v>1.4179999999999999</v>
      </c>
      <c r="G105">
        <v>4.0399999999999998E-2</v>
      </c>
      <c r="H105">
        <v>3.3700000000000001E-2</v>
      </c>
      <c r="I105">
        <v>4.2999999999999997E-2</v>
      </c>
      <c r="J105">
        <v>3.6499999999999998E-2</v>
      </c>
      <c r="K105">
        <v>17.5962</v>
      </c>
      <c r="L105">
        <v>0.88170000000000004</v>
      </c>
      <c r="M105">
        <v>4.8599999999999997E-2</v>
      </c>
      <c r="N105">
        <v>1317</v>
      </c>
      <c r="O105">
        <v>644</v>
      </c>
      <c r="P105">
        <v>33.690100000000001</v>
      </c>
      <c r="Q105">
        <v>3.3700000000000001E-2</v>
      </c>
      <c r="R105">
        <v>1.1762999999999999</v>
      </c>
      <c r="S105">
        <v>0.85009999999999997</v>
      </c>
      <c r="T105">
        <v>0.96630000000000005</v>
      </c>
    </row>
    <row r="106" spans="1:20" x14ac:dyDescent="0.25">
      <c r="A106">
        <v>105</v>
      </c>
      <c r="B106">
        <v>1.8E-3</v>
      </c>
      <c r="C106">
        <v>0</v>
      </c>
      <c r="D106">
        <v>0.16170000000000001</v>
      </c>
      <c r="E106">
        <v>2.0225</v>
      </c>
      <c r="F106">
        <v>1.4247000000000001</v>
      </c>
      <c r="G106">
        <v>5.8400000000000001E-2</v>
      </c>
      <c r="H106">
        <v>3.8199999999999998E-2</v>
      </c>
      <c r="I106">
        <v>6.0900000000000003E-2</v>
      </c>
      <c r="J106">
        <v>3.8399999999999997E-2</v>
      </c>
      <c r="K106">
        <v>170.12629999999999</v>
      </c>
      <c r="L106">
        <v>0.88139999999999996</v>
      </c>
      <c r="M106">
        <v>6.1800000000000001E-2</v>
      </c>
      <c r="N106">
        <v>900</v>
      </c>
      <c r="O106">
        <v>637</v>
      </c>
      <c r="P106">
        <v>160.90649999999999</v>
      </c>
      <c r="Q106">
        <v>3.7999999999999999E-2</v>
      </c>
      <c r="R106">
        <v>1.5865</v>
      </c>
      <c r="S106">
        <v>0.63029999999999997</v>
      </c>
      <c r="T106">
        <v>0.95030000000000003</v>
      </c>
    </row>
    <row r="107" spans="1:20" x14ac:dyDescent="0.25">
      <c r="A107">
        <v>106</v>
      </c>
      <c r="B107">
        <v>1.1999999999999999E-3</v>
      </c>
      <c r="C107">
        <v>0</v>
      </c>
      <c r="D107">
        <v>0.13619999999999999</v>
      </c>
      <c r="E107">
        <v>1.4403999999999999</v>
      </c>
      <c r="F107">
        <v>1.4315</v>
      </c>
      <c r="G107">
        <v>4.7199999999999999E-2</v>
      </c>
      <c r="H107">
        <v>2.92E-2</v>
      </c>
      <c r="I107">
        <v>4.9099999999999998E-2</v>
      </c>
      <c r="J107">
        <v>3.1800000000000002E-2</v>
      </c>
      <c r="K107">
        <v>179.05109999999999</v>
      </c>
      <c r="L107">
        <v>0.83079999999999998</v>
      </c>
      <c r="M107">
        <v>4.9299999999999997E-2</v>
      </c>
      <c r="N107">
        <v>641</v>
      </c>
      <c r="O107">
        <v>648</v>
      </c>
      <c r="P107">
        <v>24.227699999999999</v>
      </c>
      <c r="Q107">
        <v>2.92E-2</v>
      </c>
      <c r="R107">
        <v>1.5431999999999999</v>
      </c>
      <c r="S107">
        <v>0.64800000000000002</v>
      </c>
      <c r="T107">
        <v>0.95109999999999995</v>
      </c>
    </row>
    <row r="108" spans="1:20" x14ac:dyDescent="0.25">
      <c r="A108">
        <v>107</v>
      </c>
      <c r="B108">
        <v>2.0999999999999999E-3</v>
      </c>
      <c r="C108">
        <v>0</v>
      </c>
      <c r="D108">
        <v>0.1714</v>
      </c>
      <c r="E108">
        <v>0.88759999999999994</v>
      </c>
      <c r="F108">
        <v>1.4583999999999999</v>
      </c>
      <c r="G108">
        <v>5.3900000000000003E-2</v>
      </c>
      <c r="H108">
        <v>4.4900000000000002E-2</v>
      </c>
      <c r="I108">
        <v>5.6300000000000003E-2</v>
      </c>
      <c r="J108">
        <v>4.7100000000000003E-2</v>
      </c>
      <c r="K108">
        <v>11.1302</v>
      </c>
      <c r="L108">
        <v>0.88970000000000005</v>
      </c>
      <c r="M108">
        <v>6.3E-2</v>
      </c>
      <c r="N108">
        <v>396</v>
      </c>
      <c r="O108">
        <v>667</v>
      </c>
      <c r="P108">
        <v>34.8245</v>
      </c>
      <c r="Q108">
        <v>4.4900000000000002E-2</v>
      </c>
      <c r="R108">
        <v>1.1955</v>
      </c>
      <c r="S108">
        <v>0.83650000000000002</v>
      </c>
      <c r="T108">
        <v>0.95589999999999997</v>
      </c>
    </row>
    <row r="109" spans="1:20" x14ac:dyDescent="0.25">
      <c r="A109">
        <v>108</v>
      </c>
      <c r="B109">
        <v>1.4E-3</v>
      </c>
      <c r="C109">
        <v>0</v>
      </c>
      <c r="D109">
        <v>0.14019999999999999</v>
      </c>
      <c r="E109">
        <v>3.2021999999999999</v>
      </c>
      <c r="F109">
        <v>1.4652000000000001</v>
      </c>
      <c r="G109">
        <v>4.2700000000000002E-2</v>
      </c>
      <c r="H109">
        <v>3.5999999999999997E-2</v>
      </c>
      <c r="I109">
        <v>4.5499999999999999E-2</v>
      </c>
      <c r="J109">
        <v>3.9E-2</v>
      </c>
      <c r="K109">
        <v>174.61359999999999</v>
      </c>
      <c r="L109">
        <v>0.89119999999999999</v>
      </c>
      <c r="M109">
        <v>4.9500000000000002E-2</v>
      </c>
      <c r="N109">
        <v>1425</v>
      </c>
      <c r="O109">
        <v>654</v>
      </c>
      <c r="P109">
        <v>140.5275</v>
      </c>
      <c r="Q109">
        <v>3.5999999999999997E-2</v>
      </c>
      <c r="R109">
        <v>1.1675</v>
      </c>
      <c r="S109">
        <v>0.85660000000000003</v>
      </c>
      <c r="T109">
        <v>0.96</v>
      </c>
    </row>
    <row r="110" spans="1:20" x14ac:dyDescent="0.25">
      <c r="A110">
        <v>109</v>
      </c>
      <c r="B110">
        <v>2.0999999999999999E-3</v>
      </c>
      <c r="C110">
        <v>0</v>
      </c>
      <c r="D110">
        <v>0.183</v>
      </c>
      <c r="E110">
        <v>2.2225000000000001</v>
      </c>
      <c r="F110">
        <v>1.4831000000000001</v>
      </c>
      <c r="G110">
        <v>6.2899999999999998E-2</v>
      </c>
      <c r="H110">
        <v>3.8199999999999998E-2</v>
      </c>
      <c r="I110">
        <v>6.8400000000000002E-2</v>
      </c>
      <c r="J110">
        <v>3.9399999999999998E-2</v>
      </c>
      <c r="K110">
        <v>175.98140000000001</v>
      </c>
      <c r="L110">
        <v>0.79359999999999997</v>
      </c>
      <c r="M110">
        <v>6.7599999999999993E-2</v>
      </c>
      <c r="N110">
        <v>989</v>
      </c>
      <c r="O110">
        <v>663</v>
      </c>
      <c r="P110">
        <v>158.5523</v>
      </c>
      <c r="Q110">
        <v>3.8199999999999998E-2</v>
      </c>
      <c r="R110">
        <v>1.7347999999999999</v>
      </c>
      <c r="S110">
        <v>0.57650000000000001</v>
      </c>
      <c r="T110">
        <v>0.94579999999999997</v>
      </c>
    </row>
    <row r="111" spans="1:20" x14ac:dyDescent="0.25">
      <c r="A111">
        <v>110</v>
      </c>
      <c r="B111">
        <v>1.8E-3</v>
      </c>
      <c r="C111">
        <v>0</v>
      </c>
      <c r="D111">
        <v>0.16</v>
      </c>
      <c r="E111">
        <v>1.3551</v>
      </c>
      <c r="F111">
        <v>1.4899</v>
      </c>
      <c r="G111">
        <v>5.1700000000000003E-2</v>
      </c>
      <c r="H111">
        <v>3.8199999999999998E-2</v>
      </c>
      <c r="I111">
        <v>5.7200000000000001E-2</v>
      </c>
      <c r="J111">
        <v>3.9E-2</v>
      </c>
      <c r="K111">
        <v>173.61949999999999</v>
      </c>
      <c r="L111">
        <v>0.85980000000000001</v>
      </c>
      <c r="M111">
        <v>5.8599999999999999E-2</v>
      </c>
      <c r="N111">
        <v>604</v>
      </c>
      <c r="O111">
        <v>664</v>
      </c>
      <c r="P111">
        <v>147.52879999999999</v>
      </c>
      <c r="Q111">
        <v>3.7699999999999997E-2</v>
      </c>
      <c r="R111">
        <v>1.4639</v>
      </c>
      <c r="S111">
        <v>0.68310000000000004</v>
      </c>
      <c r="T111">
        <v>0.95589999999999997</v>
      </c>
    </row>
    <row r="112" spans="1:20" x14ac:dyDescent="0.25">
      <c r="A112">
        <v>111</v>
      </c>
      <c r="B112">
        <v>2.0999999999999999E-3</v>
      </c>
      <c r="C112">
        <v>0</v>
      </c>
      <c r="D112">
        <v>0.17480000000000001</v>
      </c>
      <c r="E112">
        <v>2.2000000000000001E-3</v>
      </c>
      <c r="F112">
        <v>1.4944</v>
      </c>
      <c r="G112">
        <v>4.7199999999999999E-2</v>
      </c>
      <c r="H112">
        <v>4.9399999999999999E-2</v>
      </c>
      <c r="I112">
        <v>5.3999999999999999E-2</v>
      </c>
      <c r="J112">
        <v>5.0200000000000002E-2</v>
      </c>
      <c r="K112">
        <v>82.3934</v>
      </c>
      <c r="L112">
        <v>0.87609999999999999</v>
      </c>
      <c r="M112">
        <v>6.2E-2</v>
      </c>
      <c r="N112">
        <v>1</v>
      </c>
      <c r="O112">
        <v>686</v>
      </c>
      <c r="P112">
        <v>43.531199999999998</v>
      </c>
      <c r="Q112">
        <v>4.7199999999999999E-2</v>
      </c>
      <c r="R112">
        <v>1.0750999999999999</v>
      </c>
      <c r="S112">
        <v>0.93010000000000004</v>
      </c>
      <c r="T112">
        <v>0.96460000000000001</v>
      </c>
    </row>
    <row r="113" spans="1:20" x14ac:dyDescent="0.25">
      <c r="A113">
        <v>112</v>
      </c>
      <c r="B113">
        <v>1.8E-3</v>
      </c>
      <c r="C113">
        <v>0</v>
      </c>
      <c r="D113">
        <v>0.1593</v>
      </c>
      <c r="E113">
        <v>1.1955</v>
      </c>
      <c r="F113">
        <v>1.5034000000000001</v>
      </c>
      <c r="G113">
        <v>4.0399999999999998E-2</v>
      </c>
      <c r="H113">
        <v>5.1700000000000003E-2</v>
      </c>
      <c r="I113">
        <v>5.4899999999999997E-2</v>
      </c>
      <c r="J113">
        <v>4.2200000000000001E-2</v>
      </c>
      <c r="K113">
        <v>80.954999999999998</v>
      </c>
      <c r="L113">
        <v>0.90069999999999995</v>
      </c>
      <c r="M113">
        <v>5.67E-2</v>
      </c>
      <c r="N113">
        <v>535</v>
      </c>
      <c r="O113">
        <v>692</v>
      </c>
      <c r="P113">
        <v>56.309899999999999</v>
      </c>
      <c r="Q113">
        <v>4.0399999999999998E-2</v>
      </c>
      <c r="R113">
        <v>1.3008999999999999</v>
      </c>
      <c r="S113">
        <v>0.76870000000000005</v>
      </c>
      <c r="T113">
        <v>0.95620000000000005</v>
      </c>
    </row>
    <row r="114" spans="1:20" x14ac:dyDescent="0.25">
      <c r="A114">
        <v>113</v>
      </c>
      <c r="B114">
        <v>2.2000000000000001E-3</v>
      </c>
      <c r="C114">
        <v>0</v>
      </c>
      <c r="D114">
        <v>0.1754</v>
      </c>
      <c r="E114">
        <v>1.782</v>
      </c>
      <c r="F114">
        <v>1.5056</v>
      </c>
      <c r="G114">
        <v>5.3900000000000003E-2</v>
      </c>
      <c r="H114">
        <v>4.4900000000000002E-2</v>
      </c>
      <c r="I114">
        <v>5.7700000000000001E-2</v>
      </c>
      <c r="J114">
        <v>4.87E-2</v>
      </c>
      <c r="K114">
        <v>0.92989999999999995</v>
      </c>
      <c r="L114">
        <v>0.90169999999999995</v>
      </c>
      <c r="M114">
        <v>6.2399999999999997E-2</v>
      </c>
      <c r="N114">
        <v>793</v>
      </c>
      <c r="O114">
        <v>687</v>
      </c>
      <c r="P114">
        <v>30.256399999999999</v>
      </c>
      <c r="Q114">
        <v>4.4900000000000002E-2</v>
      </c>
      <c r="R114">
        <v>1.1839999999999999</v>
      </c>
      <c r="S114">
        <v>0.84460000000000002</v>
      </c>
      <c r="T114">
        <v>0.9657</v>
      </c>
    </row>
    <row r="115" spans="1:20" x14ac:dyDescent="0.25">
      <c r="A115">
        <v>114</v>
      </c>
      <c r="B115">
        <v>1.6999999999999999E-3</v>
      </c>
      <c r="C115">
        <v>0</v>
      </c>
      <c r="D115">
        <v>0.16059999999999999</v>
      </c>
      <c r="E115">
        <v>0.34379999999999999</v>
      </c>
      <c r="F115">
        <v>1.5124</v>
      </c>
      <c r="G115">
        <v>4.0399999999999998E-2</v>
      </c>
      <c r="H115">
        <v>5.1700000000000003E-2</v>
      </c>
      <c r="I115">
        <v>5.5500000000000001E-2</v>
      </c>
      <c r="J115">
        <v>3.9300000000000002E-2</v>
      </c>
      <c r="K115">
        <v>76.252300000000005</v>
      </c>
      <c r="L115">
        <v>0.83430000000000004</v>
      </c>
      <c r="M115">
        <v>5.7599999999999998E-2</v>
      </c>
      <c r="N115">
        <v>154</v>
      </c>
      <c r="O115">
        <v>695</v>
      </c>
      <c r="P115">
        <v>51.340200000000003</v>
      </c>
      <c r="Q115">
        <v>3.8399999999999997E-2</v>
      </c>
      <c r="R115">
        <v>1.4133</v>
      </c>
      <c r="S115">
        <v>0.70760000000000001</v>
      </c>
      <c r="T115">
        <v>0.93520000000000003</v>
      </c>
    </row>
    <row r="116" spans="1:20" x14ac:dyDescent="0.25">
      <c r="A116">
        <v>115</v>
      </c>
      <c r="B116">
        <v>3.0999999999999999E-3</v>
      </c>
      <c r="C116">
        <v>0</v>
      </c>
      <c r="D116">
        <v>0.22220000000000001</v>
      </c>
      <c r="E116">
        <v>2.4337</v>
      </c>
      <c r="F116">
        <v>1.5124</v>
      </c>
      <c r="G116">
        <v>7.6399999999999996E-2</v>
      </c>
      <c r="H116">
        <v>4.7199999999999999E-2</v>
      </c>
      <c r="I116">
        <v>8.1500000000000003E-2</v>
      </c>
      <c r="J116">
        <v>4.8000000000000001E-2</v>
      </c>
      <c r="K116">
        <v>175.55940000000001</v>
      </c>
      <c r="L116">
        <v>0.78290000000000004</v>
      </c>
      <c r="M116">
        <v>8.0299999999999996E-2</v>
      </c>
      <c r="N116">
        <v>1083</v>
      </c>
      <c r="O116">
        <v>689</v>
      </c>
      <c r="P116">
        <v>17.927900000000001</v>
      </c>
      <c r="Q116">
        <v>4.53E-2</v>
      </c>
      <c r="R116">
        <v>1.6971000000000001</v>
      </c>
      <c r="S116">
        <v>0.58930000000000005</v>
      </c>
      <c r="T116">
        <v>0.94789999999999996</v>
      </c>
    </row>
    <row r="117" spans="1:20" x14ac:dyDescent="0.25">
      <c r="A117">
        <v>116</v>
      </c>
      <c r="B117">
        <v>1.5E-3</v>
      </c>
      <c r="C117">
        <v>0</v>
      </c>
      <c r="D117">
        <v>0.14580000000000001</v>
      </c>
      <c r="E117">
        <v>2.6741999999999999</v>
      </c>
      <c r="F117">
        <v>1.5618000000000001</v>
      </c>
      <c r="G117">
        <v>4.9399999999999999E-2</v>
      </c>
      <c r="H117">
        <v>3.5999999999999997E-2</v>
      </c>
      <c r="I117">
        <v>5.1700000000000003E-2</v>
      </c>
      <c r="J117">
        <v>3.7400000000000003E-2</v>
      </c>
      <c r="K117">
        <v>173.24270000000001</v>
      </c>
      <c r="L117">
        <v>0.89890000000000003</v>
      </c>
      <c r="M117">
        <v>5.2400000000000002E-2</v>
      </c>
      <c r="N117">
        <v>1191</v>
      </c>
      <c r="O117">
        <v>696</v>
      </c>
      <c r="P117">
        <v>149.03620000000001</v>
      </c>
      <c r="Q117">
        <v>3.5999999999999997E-2</v>
      </c>
      <c r="R117">
        <v>1.3836999999999999</v>
      </c>
      <c r="S117">
        <v>0.72270000000000001</v>
      </c>
      <c r="T117">
        <v>0.9556</v>
      </c>
    </row>
    <row r="118" spans="1:20" x14ac:dyDescent="0.25">
      <c r="A118">
        <v>117</v>
      </c>
      <c r="B118">
        <v>1.8E-3</v>
      </c>
      <c r="C118">
        <v>0</v>
      </c>
      <c r="D118">
        <v>0.15529999999999999</v>
      </c>
      <c r="E118">
        <v>0.77080000000000004</v>
      </c>
      <c r="F118">
        <v>1.5663</v>
      </c>
      <c r="G118">
        <v>4.4900000000000002E-2</v>
      </c>
      <c r="H118">
        <v>4.7199999999999999E-2</v>
      </c>
      <c r="I118">
        <v>5.0099999999999999E-2</v>
      </c>
      <c r="J118">
        <v>4.4499999999999998E-2</v>
      </c>
      <c r="K118">
        <v>61.262599999999999</v>
      </c>
      <c r="L118">
        <v>0.91290000000000004</v>
      </c>
      <c r="M118">
        <v>5.4100000000000002E-2</v>
      </c>
      <c r="N118">
        <v>344</v>
      </c>
      <c r="O118">
        <v>716</v>
      </c>
      <c r="P118">
        <v>41.633499999999998</v>
      </c>
      <c r="Q118">
        <v>4.4600000000000001E-2</v>
      </c>
      <c r="R118">
        <v>1.1251</v>
      </c>
      <c r="S118">
        <v>0.88880000000000003</v>
      </c>
      <c r="T118">
        <v>0.94550000000000001</v>
      </c>
    </row>
    <row r="119" spans="1:20" x14ac:dyDescent="0.25">
      <c r="A119">
        <v>118</v>
      </c>
      <c r="B119">
        <v>1.6000000000000001E-3</v>
      </c>
      <c r="C119">
        <v>0</v>
      </c>
      <c r="D119">
        <v>0.1482</v>
      </c>
      <c r="E119">
        <v>3.0989</v>
      </c>
      <c r="F119">
        <v>1.573</v>
      </c>
      <c r="G119">
        <v>4.7199999999999999E-2</v>
      </c>
      <c r="H119">
        <v>4.2700000000000002E-2</v>
      </c>
      <c r="I119">
        <v>4.7800000000000002E-2</v>
      </c>
      <c r="J119">
        <v>4.1300000000000003E-2</v>
      </c>
      <c r="K119">
        <v>32.030900000000003</v>
      </c>
      <c r="L119">
        <v>0.88719999999999999</v>
      </c>
      <c r="M119">
        <v>5.2999999999999999E-2</v>
      </c>
      <c r="N119">
        <v>1379</v>
      </c>
      <c r="O119">
        <v>717</v>
      </c>
      <c r="P119">
        <v>36.384399999999999</v>
      </c>
      <c r="Q119">
        <v>4.2700000000000002E-2</v>
      </c>
      <c r="R119">
        <v>1.1567000000000001</v>
      </c>
      <c r="S119">
        <v>0.86450000000000005</v>
      </c>
      <c r="T119">
        <v>0.92889999999999995</v>
      </c>
    </row>
    <row r="120" spans="1:20" x14ac:dyDescent="0.25">
      <c r="A120">
        <v>119</v>
      </c>
      <c r="B120">
        <v>1.6999999999999999E-3</v>
      </c>
      <c r="C120">
        <v>0</v>
      </c>
      <c r="D120">
        <v>0.15659999999999999</v>
      </c>
      <c r="E120">
        <v>1.0853999999999999</v>
      </c>
      <c r="F120">
        <v>1.5865</v>
      </c>
      <c r="G120">
        <v>5.1700000000000003E-2</v>
      </c>
      <c r="H120">
        <v>4.0399999999999998E-2</v>
      </c>
      <c r="I120">
        <v>5.33E-2</v>
      </c>
      <c r="J120">
        <v>4.1500000000000002E-2</v>
      </c>
      <c r="K120">
        <v>178.8389</v>
      </c>
      <c r="L120">
        <v>0.88990000000000002</v>
      </c>
      <c r="M120">
        <v>5.5300000000000002E-2</v>
      </c>
      <c r="N120">
        <v>483</v>
      </c>
      <c r="O120">
        <v>721</v>
      </c>
      <c r="P120">
        <v>26.565100000000001</v>
      </c>
      <c r="Q120">
        <v>4.0399999999999998E-2</v>
      </c>
      <c r="R120">
        <v>1.2823</v>
      </c>
      <c r="S120">
        <v>0.77980000000000005</v>
      </c>
      <c r="T120">
        <v>0.9425</v>
      </c>
    </row>
    <row r="121" spans="1:20" x14ac:dyDescent="0.25">
      <c r="A121">
        <v>120</v>
      </c>
      <c r="B121">
        <v>3.8E-3</v>
      </c>
      <c r="C121">
        <v>0</v>
      </c>
      <c r="D121">
        <v>0.23280000000000001</v>
      </c>
      <c r="E121">
        <v>3.2404000000000002</v>
      </c>
      <c r="F121">
        <v>1.591</v>
      </c>
      <c r="G121">
        <v>6.9699999999999998E-2</v>
      </c>
      <c r="H121">
        <v>6.5199999999999994E-2</v>
      </c>
      <c r="I121">
        <v>7.1199999999999999E-2</v>
      </c>
      <c r="J121">
        <v>6.7199999999999996E-2</v>
      </c>
      <c r="K121">
        <v>177.2501</v>
      </c>
      <c r="L121">
        <v>0.87109999999999999</v>
      </c>
      <c r="M121">
        <v>7.8600000000000003E-2</v>
      </c>
      <c r="N121">
        <v>1442</v>
      </c>
      <c r="O121">
        <v>731</v>
      </c>
      <c r="P121">
        <v>30.963799999999999</v>
      </c>
      <c r="Q121">
        <v>6.3500000000000001E-2</v>
      </c>
      <c r="R121">
        <v>1.0587</v>
      </c>
      <c r="S121">
        <v>0.94450000000000001</v>
      </c>
      <c r="T121">
        <v>0.9466</v>
      </c>
    </row>
    <row r="122" spans="1:20" x14ac:dyDescent="0.25">
      <c r="A122">
        <v>121</v>
      </c>
      <c r="B122">
        <v>1.9E-3</v>
      </c>
      <c r="C122">
        <v>0</v>
      </c>
      <c r="D122">
        <v>0.16059999999999999</v>
      </c>
      <c r="E122">
        <v>0.93930000000000002</v>
      </c>
      <c r="F122">
        <v>1.6247</v>
      </c>
      <c r="G122">
        <v>4.7199999999999999E-2</v>
      </c>
      <c r="H122">
        <v>4.4900000000000002E-2</v>
      </c>
      <c r="I122">
        <v>5.0700000000000002E-2</v>
      </c>
      <c r="J122">
        <v>4.7199999999999999E-2</v>
      </c>
      <c r="K122">
        <v>39.707099999999997</v>
      </c>
      <c r="L122">
        <v>0.91549999999999998</v>
      </c>
      <c r="M122">
        <v>5.7599999999999998E-2</v>
      </c>
      <c r="N122">
        <v>418</v>
      </c>
      <c r="O122">
        <v>741</v>
      </c>
      <c r="P122">
        <v>38.659799999999997</v>
      </c>
      <c r="Q122">
        <v>4.4900000000000002E-2</v>
      </c>
      <c r="R122">
        <v>1.0752999999999999</v>
      </c>
      <c r="S122">
        <v>0.93</v>
      </c>
      <c r="T122">
        <v>0.96</v>
      </c>
    </row>
    <row r="123" spans="1:20" x14ac:dyDescent="0.25">
      <c r="A123">
        <v>122</v>
      </c>
      <c r="B123">
        <v>4.0000000000000001E-3</v>
      </c>
      <c r="C123">
        <v>0</v>
      </c>
      <c r="D123">
        <v>0.2412</v>
      </c>
      <c r="E123">
        <v>0.1326</v>
      </c>
      <c r="F123">
        <v>1.6629</v>
      </c>
      <c r="G123">
        <v>6.9699999999999998E-2</v>
      </c>
      <c r="H123">
        <v>6.7400000000000002E-2</v>
      </c>
      <c r="I123">
        <v>7.3400000000000007E-2</v>
      </c>
      <c r="J123">
        <v>6.9500000000000006E-2</v>
      </c>
      <c r="K123">
        <v>23.164300000000001</v>
      </c>
      <c r="L123">
        <v>0.86460000000000004</v>
      </c>
      <c r="M123">
        <v>8.3599999999999994E-2</v>
      </c>
      <c r="N123">
        <v>60</v>
      </c>
      <c r="O123">
        <v>766</v>
      </c>
      <c r="P123">
        <v>36.253799999999998</v>
      </c>
      <c r="Q123">
        <v>6.6500000000000004E-2</v>
      </c>
      <c r="R123">
        <v>1.0558000000000001</v>
      </c>
      <c r="S123">
        <v>0.94720000000000004</v>
      </c>
      <c r="T123">
        <v>0.9526</v>
      </c>
    </row>
    <row r="124" spans="1:20" s="1" customFormat="1" x14ac:dyDescent="0.25">
      <c r="A124" s="1">
        <v>123</v>
      </c>
      <c r="B124" s="1">
        <v>8.0000000000000004E-4</v>
      </c>
      <c r="C124" s="1">
        <v>0</v>
      </c>
      <c r="D124" s="1">
        <v>0.14369999999999999</v>
      </c>
      <c r="E124" s="1">
        <v>2.5684999999999998</v>
      </c>
      <c r="F124" s="1">
        <v>1.6876</v>
      </c>
      <c r="G124" s="1">
        <v>3.8199999999999998E-2</v>
      </c>
      <c r="H124" s="1">
        <v>4.0399999999999998E-2</v>
      </c>
      <c r="I124" s="1">
        <v>3.8600000000000002E-2</v>
      </c>
      <c r="J124" s="1">
        <v>2.7799999999999998E-2</v>
      </c>
      <c r="K124" s="1">
        <v>113.586</v>
      </c>
      <c r="L124" s="1">
        <v>0.51329999999999998</v>
      </c>
      <c r="M124" s="1">
        <v>4.4600000000000001E-2</v>
      </c>
      <c r="N124" s="1">
        <v>1144</v>
      </c>
      <c r="O124" s="1">
        <v>753</v>
      </c>
      <c r="P124" s="1">
        <v>130.9144</v>
      </c>
      <c r="Q124" s="1">
        <v>3.61E-2</v>
      </c>
      <c r="R124" s="1">
        <v>1.3904000000000001</v>
      </c>
      <c r="S124" s="1">
        <v>0.71919999999999995</v>
      </c>
      <c r="T124" s="1">
        <v>0.72609999999999997</v>
      </c>
    </row>
    <row r="125" spans="1:20" x14ac:dyDescent="0.25">
      <c r="A125">
        <v>124</v>
      </c>
      <c r="B125">
        <v>1.9E-3</v>
      </c>
      <c r="C125">
        <v>0</v>
      </c>
      <c r="D125">
        <v>0.16769999999999999</v>
      </c>
      <c r="E125">
        <v>1.4381999999999999</v>
      </c>
      <c r="F125">
        <v>1.6920999999999999</v>
      </c>
      <c r="G125">
        <v>4.9399999999999999E-2</v>
      </c>
      <c r="H125">
        <v>4.4900000000000002E-2</v>
      </c>
      <c r="I125">
        <v>5.1400000000000001E-2</v>
      </c>
      <c r="J125">
        <v>4.8000000000000001E-2</v>
      </c>
      <c r="K125">
        <v>10.582000000000001</v>
      </c>
      <c r="L125">
        <v>0.86650000000000005</v>
      </c>
      <c r="M125">
        <v>5.9799999999999999E-2</v>
      </c>
      <c r="N125">
        <v>640</v>
      </c>
      <c r="O125">
        <v>770</v>
      </c>
      <c r="P125">
        <v>34.286900000000003</v>
      </c>
      <c r="Q125">
        <v>4.4900000000000002E-2</v>
      </c>
      <c r="R125">
        <v>1.0713999999999999</v>
      </c>
      <c r="S125">
        <v>0.93340000000000001</v>
      </c>
      <c r="T125">
        <v>0.94699999999999995</v>
      </c>
    </row>
    <row r="126" spans="1:20" s="1" customFormat="1" x14ac:dyDescent="0.25">
      <c r="A126" s="1">
        <v>125</v>
      </c>
      <c r="B126" s="1">
        <v>5.0000000000000001E-4</v>
      </c>
      <c r="C126" s="1">
        <v>0</v>
      </c>
      <c r="D126" s="1">
        <v>0.12970000000000001</v>
      </c>
      <c r="E126" s="1">
        <v>1.7753000000000001</v>
      </c>
      <c r="F126" s="1">
        <v>1.7079</v>
      </c>
      <c r="G126" s="1">
        <v>3.5999999999999997E-2</v>
      </c>
      <c r="H126" s="1">
        <v>3.3700000000000001E-2</v>
      </c>
      <c r="I126" s="1">
        <v>3.3599999999999998E-2</v>
      </c>
      <c r="J126" s="1">
        <v>2.01E-2</v>
      </c>
      <c r="K126" s="1">
        <v>153.5813</v>
      </c>
      <c r="L126" s="1">
        <v>0.39629999999999999</v>
      </c>
      <c r="M126" s="1">
        <v>4.1799999999999997E-2</v>
      </c>
      <c r="N126" s="1">
        <v>792</v>
      </c>
      <c r="O126" s="1">
        <v>760</v>
      </c>
      <c r="P126" s="1">
        <v>126.2538</v>
      </c>
      <c r="Q126" s="1">
        <v>2.7799999999999998E-2</v>
      </c>
      <c r="R126" s="1">
        <v>1.6756</v>
      </c>
      <c r="S126" s="1">
        <v>0.5968</v>
      </c>
      <c r="T126" s="1">
        <v>0.59319999999999995</v>
      </c>
    </row>
    <row r="127" spans="1:20" x14ac:dyDescent="0.25">
      <c r="A127">
        <v>126</v>
      </c>
      <c r="B127">
        <v>1.4E-3</v>
      </c>
      <c r="C127">
        <v>0</v>
      </c>
      <c r="D127">
        <v>0.14000000000000001</v>
      </c>
      <c r="E127">
        <v>2.7639999999999998</v>
      </c>
      <c r="F127">
        <v>1.7347999999999999</v>
      </c>
      <c r="G127">
        <v>4.4900000000000002E-2</v>
      </c>
      <c r="H127">
        <v>3.8199999999999998E-2</v>
      </c>
      <c r="I127">
        <v>4.6800000000000001E-2</v>
      </c>
      <c r="J127">
        <v>3.9300000000000002E-2</v>
      </c>
      <c r="K127">
        <v>168.6618</v>
      </c>
      <c r="L127">
        <v>0.9264</v>
      </c>
      <c r="M127">
        <v>4.99E-2</v>
      </c>
      <c r="N127">
        <v>1231</v>
      </c>
      <c r="O127">
        <v>773</v>
      </c>
      <c r="P127">
        <v>144.16229999999999</v>
      </c>
      <c r="Q127">
        <v>3.8199999999999998E-2</v>
      </c>
      <c r="R127">
        <v>1.1918</v>
      </c>
      <c r="S127">
        <v>0.83909999999999996</v>
      </c>
      <c r="T127">
        <v>0.95020000000000004</v>
      </c>
    </row>
    <row r="128" spans="1:20" x14ac:dyDescent="0.25">
      <c r="A128">
        <v>127</v>
      </c>
      <c r="B128">
        <v>3.0000000000000001E-3</v>
      </c>
      <c r="C128">
        <v>0</v>
      </c>
      <c r="D128">
        <v>0.2079</v>
      </c>
      <c r="E128">
        <v>0.96630000000000005</v>
      </c>
      <c r="F128">
        <v>1.7371000000000001</v>
      </c>
      <c r="G128">
        <v>6.0699999999999997E-2</v>
      </c>
      <c r="H128">
        <v>5.8400000000000001E-2</v>
      </c>
      <c r="I128">
        <v>6.4000000000000001E-2</v>
      </c>
      <c r="J128">
        <v>5.91E-2</v>
      </c>
      <c r="K128">
        <v>24.741</v>
      </c>
      <c r="L128">
        <v>0.86450000000000005</v>
      </c>
      <c r="M128">
        <v>7.17E-2</v>
      </c>
      <c r="N128">
        <v>430</v>
      </c>
      <c r="O128">
        <v>796</v>
      </c>
      <c r="P128">
        <v>41.185899999999997</v>
      </c>
      <c r="Q128">
        <v>5.8400000000000001E-2</v>
      </c>
      <c r="R128">
        <v>1.083</v>
      </c>
      <c r="S128">
        <v>0.9234</v>
      </c>
      <c r="T128">
        <v>0.95079999999999998</v>
      </c>
    </row>
    <row r="129" spans="1:20" x14ac:dyDescent="0.25">
      <c r="A129">
        <v>128</v>
      </c>
      <c r="B129">
        <v>3.3E-3</v>
      </c>
      <c r="C129">
        <v>0</v>
      </c>
      <c r="D129">
        <v>0.21560000000000001</v>
      </c>
      <c r="E129">
        <v>2.1191</v>
      </c>
      <c r="F129">
        <v>1.7798</v>
      </c>
      <c r="G129">
        <v>6.9699999999999998E-2</v>
      </c>
      <c r="H129">
        <v>5.3900000000000003E-2</v>
      </c>
      <c r="I129">
        <v>7.4099999999999999E-2</v>
      </c>
      <c r="J129">
        <v>5.6099999999999997E-2</v>
      </c>
      <c r="K129">
        <v>176.68209999999999</v>
      </c>
      <c r="L129">
        <v>0.88190000000000002</v>
      </c>
      <c r="M129">
        <v>7.6399999999999996E-2</v>
      </c>
      <c r="N129">
        <v>943</v>
      </c>
      <c r="O129">
        <v>810</v>
      </c>
      <c r="P129">
        <v>24.304500000000001</v>
      </c>
      <c r="Q129">
        <v>5.3900000000000003E-2</v>
      </c>
      <c r="R129">
        <v>1.3218000000000001</v>
      </c>
      <c r="S129">
        <v>0.75649999999999995</v>
      </c>
      <c r="T129">
        <v>0.96130000000000004</v>
      </c>
    </row>
    <row r="130" spans="1:20" x14ac:dyDescent="0.25">
      <c r="A130">
        <v>129</v>
      </c>
      <c r="B130">
        <v>8.0000000000000004E-4</v>
      </c>
      <c r="C130">
        <v>0</v>
      </c>
      <c r="D130">
        <v>0.1082</v>
      </c>
      <c r="E130">
        <v>3.2629000000000001</v>
      </c>
      <c r="F130">
        <v>1.782</v>
      </c>
      <c r="G130">
        <v>2.92E-2</v>
      </c>
      <c r="H130">
        <v>3.15E-2</v>
      </c>
      <c r="I130">
        <v>3.5400000000000001E-2</v>
      </c>
      <c r="J130">
        <v>3.04E-2</v>
      </c>
      <c r="K130">
        <v>69.713300000000004</v>
      </c>
      <c r="L130">
        <v>0.90549999999999997</v>
      </c>
      <c r="M130">
        <v>0.04</v>
      </c>
      <c r="N130">
        <v>1453</v>
      </c>
      <c r="O130">
        <v>807</v>
      </c>
      <c r="P130">
        <v>51.842799999999997</v>
      </c>
      <c r="Q130">
        <v>2.92E-2</v>
      </c>
      <c r="R130">
        <v>1.1648000000000001</v>
      </c>
      <c r="S130">
        <v>0.85850000000000004</v>
      </c>
      <c r="T130">
        <v>0.96809999999999996</v>
      </c>
    </row>
    <row r="131" spans="1:20" x14ac:dyDescent="0.25">
      <c r="A131">
        <v>130</v>
      </c>
      <c r="B131">
        <v>1.2999999999999999E-3</v>
      </c>
      <c r="C131">
        <v>0</v>
      </c>
      <c r="D131">
        <v>0.1336</v>
      </c>
      <c r="E131">
        <v>2.9729999999999999</v>
      </c>
      <c r="F131">
        <v>1.7843</v>
      </c>
      <c r="G131">
        <v>4.4900000000000002E-2</v>
      </c>
      <c r="H131">
        <v>3.3700000000000001E-2</v>
      </c>
      <c r="I131">
        <v>4.4699999999999997E-2</v>
      </c>
      <c r="J131">
        <v>3.61E-2</v>
      </c>
      <c r="K131">
        <v>2.927</v>
      </c>
      <c r="L131">
        <v>0.89229999999999998</v>
      </c>
      <c r="M131">
        <v>4.6300000000000001E-2</v>
      </c>
      <c r="N131">
        <v>1324</v>
      </c>
      <c r="O131">
        <v>796</v>
      </c>
      <c r="P131">
        <v>150.94540000000001</v>
      </c>
      <c r="Q131">
        <v>3.3700000000000001E-2</v>
      </c>
      <c r="R131">
        <v>1.2358</v>
      </c>
      <c r="S131">
        <v>0.80920000000000003</v>
      </c>
      <c r="T131">
        <v>0.94179999999999997</v>
      </c>
    </row>
    <row r="132" spans="1:20" x14ac:dyDescent="0.25">
      <c r="A132">
        <v>131</v>
      </c>
      <c r="B132">
        <v>5.9999999999999995E-4</v>
      </c>
      <c r="C132">
        <v>0</v>
      </c>
      <c r="D132">
        <v>9.2600000000000002E-2</v>
      </c>
      <c r="E132">
        <v>2.7124000000000001</v>
      </c>
      <c r="F132">
        <v>1.7909999999999999</v>
      </c>
      <c r="G132">
        <v>2.7E-2</v>
      </c>
      <c r="H132">
        <v>2.92E-2</v>
      </c>
      <c r="I132">
        <v>3.2399999999999998E-2</v>
      </c>
      <c r="J132">
        <v>2.4E-2</v>
      </c>
      <c r="K132">
        <v>56.466299999999997</v>
      </c>
      <c r="L132">
        <v>0.8952</v>
      </c>
      <c r="M132">
        <v>3.5099999999999999E-2</v>
      </c>
      <c r="N132">
        <v>1207</v>
      </c>
      <c r="O132">
        <v>809</v>
      </c>
      <c r="P132">
        <v>39.805599999999998</v>
      </c>
      <c r="Q132">
        <v>2.6200000000000001E-2</v>
      </c>
      <c r="R132">
        <v>1.3468</v>
      </c>
      <c r="S132">
        <v>0.74250000000000005</v>
      </c>
      <c r="T132">
        <v>0.90639999999999998</v>
      </c>
    </row>
    <row r="133" spans="1:20" x14ac:dyDescent="0.25">
      <c r="A133">
        <v>132</v>
      </c>
      <c r="B133">
        <v>3.2000000000000002E-3</v>
      </c>
      <c r="C133">
        <v>0</v>
      </c>
      <c r="D133">
        <v>0.21560000000000001</v>
      </c>
      <c r="E133">
        <v>0.28539999999999999</v>
      </c>
      <c r="F133">
        <v>1.8134999999999999</v>
      </c>
      <c r="G133">
        <v>5.62E-2</v>
      </c>
      <c r="H133">
        <v>6.7400000000000002E-2</v>
      </c>
      <c r="I133">
        <v>7.1800000000000003E-2</v>
      </c>
      <c r="J133">
        <v>5.7099999999999998E-2</v>
      </c>
      <c r="K133">
        <v>100.4465</v>
      </c>
      <c r="L133">
        <v>0.871</v>
      </c>
      <c r="M133">
        <v>7.6700000000000004E-2</v>
      </c>
      <c r="N133">
        <v>132</v>
      </c>
      <c r="O133">
        <v>807</v>
      </c>
      <c r="P133">
        <v>121.8274</v>
      </c>
      <c r="Q133">
        <v>5.62E-2</v>
      </c>
      <c r="R133">
        <v>1.2562</v>
      </c>
      <c r="S133">
        <v>0.79610000000000003</v>
      </c>
      <c r="T133">
        <v>0.95650000000000002</v>
      </c>
    </row>
    <row r="134" spans="1:20" x14ac:dyDescent="0.25">
      <c r="A134">
        <v>133</v>
      </c>
      <c r="B134">
        <v>2.3E-3</v>
      </c>
      <c r="C134">
        <v>0</v>
      </c>
      <c r="D134">
        <v>0.18099999999999999</v>
      </c>
      <c r="E134">
        <v>0.43149999999999999</v>
      </c>
      <c r="F134">
        <v>1.8427</v>
      </c>
      <c r="G134">
        <v>4.9399999999999999E-2</v>
      </c>
      <c r="H134">
        <v>5.62E-2</v>
      </c>
      <c r="I134">
        <v>5.8400000000000001E-2</v>
      </c>
      <c r="J134">
        <v>4.9599999999999998E-2</v>
      </c>
      <c r="K134">
        <v>84.680899999999994</v>
      </c>
      <c r="L134">
        <v>0.872</v>
      </c>
      <c r="M134">
        <v>6.1699999999999998E-2</v>
      </c>
      <c r="N134">
        <v>195</v>
      </c>
      <c r="O134">
        <v>821</v>
      </c>
      <c r="P134">
        <v>123.1113</v>
      </c>
      <c r="Q134">
        <v>4.7600000000000003E-2</v>
      </c>
      <c r="R134">
        <v>1.1776</v>
      </c>
      <c r="S134">
        <v>0.84919999999999995</v>
      </c>
      <c r="T134">
        <v>0.9365</v>
      </c>
    </row>
    <row r="135" spans="1:20" x14ac:dyDescent="0.25">
      <c r="A135">
        <v>134</v>
      </c>
      <c r="B135">
        <v>1.6999999999999999E-3</v>
      </c>
      <c r="C135">
        <v>0</v>
      </c>
      <c r="D135">
        <v>0.16239999999999999</v>
      </c>
      <c r="E135">
        <v>0.97750000000000004</v>
      </c>
      <c r="F135">
        <v>1.9213</v>
      </c>
      <c r="G135">
        <v>4.7199999999999999E-2</v>
      </c>
      <c r="H135">
        <v>4.4900000000000002E-2</v>
      </c>
      <c r="I135">
        <v>5.1900000000000002E-2</v>
      </c>
      <c r="J135">
        <v>4.2799999999999998E-2</v>
      </c>
      <c r="K135">
        <v>50.139400000000002</v>
      </c>
      <c r="L135">
        <v>0.82969999999999999</v>
      </c>
      <c r="M135">
        <v>5.9299999999999999E-2</v>
      </c>
      <c r="N135">
        <v>435</v>
      </c>
      <c r="O135">
        <v>873</v>
      </c>
      <c r="P135">
        <v>37.303899999999999</v>
      </c>
      <c r="Q135">
        <v>4.4499999999999998E-2</v>
      </c>
      <c r="R135">
        <v>1.212</v>
      </c>
      <c r="S135">
        <v>0.82509999999999994</v>
      </c>
      <c r="T135">
        <v>0.93369999999999997</v>
      </c>
    </row>
    <row r="136" spans="1:20" x14ac:dyDescent="0.25">
      <c r="A136">
        <v>135</v>
      </c>
      <c r="B136">
        <v>1.4E-3</v>
      </c>
      <c r="C136">
        <v>0</v>
      </c>
      <c r="D136">
        <v>0.1394</v>
      </c>
      <c r="E136">
        <v>3.3079000000000001</v>
      </c>
      <c r="F136">
        <v>1.9326000000000001</v>
      </c>
      <c r="G136">
        <v>3.5999999999999997E-2</v>
      </c>
      <c r="H136">
        <v>4.4900000000000002E-2</v>
      </c>
      <c r="I136">
        <v>4.8500000000000001E-2</v>
      </c>
      <c r="J136">
        <v>3.6999999999999998E-2</v>
      </c>
      <c r="K136">
        <v>80.835599999999999</v>
      </c>
      <c r="L136">
        <v>0.91090000000000004</v>
      </c>
      <c r="M136">
        <v>5.0500000000000003E-2</v>
      </c>
      <c r="N136">
        <v>1474</v>
      </c>
      <c r="O136">
        <v>880</v>
      </c>
      <c r="P136">
        <v>57.724400000000003</v>
      </c>
      <c r="Q136">
        <v>3.5999999999999997E-2</v>
      </c>
      <c r="R136">
        <v>1.3136000000000001</v>
      </c>
      <c r="S136">
        <v>0.76129999999999998</v>
      </c>
      <c r="T136">
        <v>0.95379999999999998</v>
      </c>
    </row>
    <row r="137" spans="1:20" x14ac:dyDescent="0.25">
      <c r="A137">
        <v>136</v>
      </c>
      <c r="B137">
        <v>6.9999999999999999E-4</v>
      </c>
      <c r="C137">
        <v>0</v>
      </c>
      <c r="D137">
        <v>9.7900000000000001E-2</v>
      </c>
      <c r="E137">
        <v>2.8854000000000002</v>
      </c>
      <c r="F137">
        <v>1.9482999999999999</v>
      </c>
      <c r="G137">
        <v>2.2499999999999999E-2</v>
      </c>
      <c r="H137">
        <v>3.3700000000000001E-2</v>
      </c>
      <c r="I137">
        <v>3.5000000000000003E-2</v>
      </c>
      <c r="J137">
        <v>2.4199999999999999E-2</v>
      </c>
      <c r="K137">
        <v>81.058400000000006</v>
      </c>
      <c r="L137">
        <v>0.87429999999999997</v>
      </c>
      <c r="M137">
        <v>3.7400000000000003E-2</v>
      </c>
      <c r="N137">
        <v>1285</v>
      </c>
      <c r="O137">
        <v>881</v>
      </c>
      <c r="P137">
        <v>57.264800000000001</v>
      </c>
      <c r="Q137">
        <v>2.2499999999999999E-2</v>
      </c>
      <c r="R137">
        <v>1.4434</v>
      </c>
      <c r="S137">
        <v>0.69279999999999997</v>
      </c>
      <c r="T137">
        <v>0.96</v>
      </c>
    </row>
    <row r="138" spans="1:20" x14ac:dyDescent="0.25">
      <c r="A138">
        <v>137</v>
      </c>
      <c r="B138">
        <v>2.3E-3</v>
      </c>
      <c r="C138">
        <v>0</v>
      </c>
      <c r="D138">
        <v>0.1817</v>
      </c>
      <c r="E138">
        <v>0.65620000000000001</v>
      </c>
      <c r="F138">
        <v>1.9596</v>
      </c>
      <c r="G138">
        <v>5.62E-2</v>
      </c>
      <c r="H138">
        <v>4.7199999999999999E-2</v>
      </c>
      <c r="I138">
        <v>6.08E-2</v>
      </c>
      <c r="J138">
        <v>4.9200000000000001E-2</v>
      </c>
      <c r="K138">
        <v>172.06110000000001</v>
      </c>
      <c r="L138">
        <v>0.89349999999999996</v>
      </c>
      <c r="M138">
        <v>6.3899999999999998E-2</v>
      </c>
      <c r="N138">
        <v>294</v>
      </c>
      <c r="O138">
        <v>874</v>
      </c>
      <c r="P138">
        <v>140.7106</v>
      </c>
      <c r="Q138">
        <v>4.7199999999999999E-2</v>
      </c>
      <c r="R138">
        <v>1.2369000000000001</v>
      </c>
      <c r="S138">
        <v>0.80840000000000001</v>
      </c>
      <c r="T138">
        <v>0.9617</v>
      </c>
    </row>
    <row r="139" spans="1:20" x14ac:dyDescent="0.25">
      <c r="A139">
        <v>138</v>
      </c>
      <c r="B139">
        <v>2.8999999999999998E-3</v>
      </c>
      <c r="C139">
        <v>0</v>
      </c>
      <c r="D139">
        <v>0.2034</v>
      </c>
      <c r="E139">
        <v>0.34379999999999999</v>
      </c>
      <c r="F139">
        <v>1.964</v>
      </c>
      <c r="G139">
        <v>6.9699999999999998E-2</v>
      </c>
      <c r="H139">
        <v>4.7199999999999999E-2</v>
      </c>
      <c r="I139">
        <v>7.4099999999999999E-2</v>
      </c>
      <c r="J139">
        <v>4.9399999999999999E-2</v>
      </c>
      <c r="K139">
        <v>178.56389999999999</v>
      </c>
      <c r="L139">
        <v>0.87250000000000005</v>
      </c>
      <c r="M139">
        <v>7.3200000000000001E-2</v>
      </c>
      <c r="N139">
        <v>153</v>
      </c>
      <c r="O139">
        <v>891</v>
      </c>
      <c r="P139">
        <v>17.878699999999998</v>
      </c>
      <c r="Q139">
        <v>4.7199999999999999E-2</v>
      </c>
      <c r="R139">
        <v>1.5002</v>
      </c>
      <c r="S139">
        <v>0.66659999999999997</v>
      </c>
      <c r="T139">
        <v>0.96360000000000001</v>
      </c>
    </row>
    <row r="140" spans="1:20" x14ac:dyDescent="0.25">
      <c r="A140">
        <v>139</v>
      </c>
      <c r="B140">
        <v>2.5000000000000001E-3</v>
      </c>
      <c r="C140">
        <v>0</v>
      </c>
      <c r="D140">
        <v>0.18360000000000001</v>
      </c>
      <c r="E140">
        <v>1.5618000000000001</v>
      </c>
      <c r="F140">
        <v>1.9933000000000001</v>
      </c>
      <c r="G140">
        <v>5.62E-2</v>
      </c>
      <c r="H140">
        <v>4.9399999999999999E-2</v>
      </c>
      <c r="I140">
        <v>5.9900000000000002E-2</v>
      </c>
      <c r="J140">
        <v>5.28E-2</v>
      </c>
      <c r="K140">
        <v>177.36009999999999</v>
      </c>
      <c r="L140">
        <v>0.92630000000000001</v>
      </c>
      <c r="M140">
        <v>6.3299999999999995E-2</v>
      </c>
      <c r="N140">
        <v>695</v>
      </c>
      <c r="O140">
        <v>902</v>
      </c>
      <c r="P140">
        <v>27.474399999999999</v>
      </c>
      <c r="Q140">
        <v>4.9399999999999999E-2</v>
      </c>
      <c r="R140">
        <v>1.1335</v>
      </c>
      <c r="S140">
        <v>0.88219999999999998</v>
      </c>
      <c r="T140">
        <v>0.97140000000000004</v>
      </c>
    </row>
    <row r="141" spans="1:20" x14ac:dyDescent="0.25">
      <c r="A141">
        <v>140</v>
      </c>
      <c r="B141">
        <v>2.8E-3</v>
      </c>
      <c r="C141">
        <v>0</v>
      </c>
      <c r="D141">
        <v>0.1976</v>
      </c>
      <c r="E141">
        <v>3.1371000000000002</v>
      </c>
      <c r="F141">
        <v>2</v>
      </c>
      <c r="G141">
        <v>6.0699999999999997E-2</v>
      </c>
      <c r="H141">
        <v>5.3900000000000003E-2</v>
      </c>
      <c r="I141">
        <v>6.3200000000000006E-2</v>
      </c>
      <c r="J141">
        <v>5.5800000000000002E-2</v>
      </c>
      <c r="K141">
        <v>164.14439999999999</v>
      </c>
      <c r="L141">
        <v>0.89039999999999997</v>
      </c>
      <c r="M141">
        <v>6.88E-2</v>
      </c>
      <c r="N141">
        <v>1397</v>
      </c>
      <c r="O141">
        <v>892</v>
      </c>
      <c r="P141">
        <v>141.63249999999999</v>
      </c>
      <c r="Q141">
        <v>5.3900000000000003E-2</v>
      </c>
      <c r="R141">
        <v>1.1324000000000001</v>
      </c>
      <c r="S141">
        <v>0.8831</v>
      </c>
      <c r="T141">
        <v>0.95469999999999999</v>
      </c>
    </row>
    <row r="142" spans="1:20" x14ac:dyDescent="0.25">
      <c r="A142">
        <v>141</v>
      </c>
      <c r="B142">
        <v>3.0000000000000001E-3</v>
      </c>
      <c r="C142">
        <v>0</v>
      </c>
      <c r="D142">
        <v>0.21060000000000001</v>
      </c>
      <c r="E142">
        <v>0.72809999999999997</v>
      </c>
      <c r="F142">
        <v>2.0225</v>
      </c>
      <c r="G142">
        <v>6.5199999999999994E-2</v>
      </c>
      <c r="H142">
        <v>5.1700000000000003E-2</v>
      </c>
      <c r="I142">
        <v>6.88E-2</v>
      </c>
      <c r="J142">
        <v>5.5599999999999997E-2</v>
      </c>
      <c r="K142">
        <v>178.26</v>
      </c>
      <c r="L142">
        <v>0.85170000000000001</v>
      </c>
      <c r="M142">
        <v>7.3599999999999999E-2</v>
      </c>
      <c r="N142">
        <v>325</v>
      </c>
      <c r="O142">
        <v>920</v>
      </c>
      <c r="P142">
        <v>31.2637</v>
      </c>
      <c r="Q142">
        <v>5.1700000000000003E-2</v>
      </c>
      <c r="R142">
        <v>1.2358</v>
      </c>
      <c r="S142">
        <v>0.80920000000000003</v>
      </c>
      <c r="T142">
        <v>0.95279999999999998</v>
      </c>
    </row>
    <row r="143" spans="1:20" x14ac:dyDescent="0.25">
      <c r="A143">
        <v>142</v>
      </c>
      <c r="B143">
        <v>3.0000000000000001E-3</v>
      </c>
      <c r="C143">
        <v>0</v>
      </c>
      <c r="D143">
        <v>0.20580000000000001</v>
      </c>
      <c r="E143">
        <v>1.7618</v>
      </c>
      <c r="F143">
        <v>2.0225</v>
      </c>
      <c r="G143">
        <v>7.1900000000000006E-2</v>
      </c>
      <c r="H143">
        <v>4.9399999999999999E-2</v>
      </c>
      <c r="I143">
        <v>7.3400000000000007E-2</v>
      </c>
      <c r="J143">
        <v>5.1299999999999998E-2</v>
      </c>
      <c r="K143">
        <v>176.6318</v>
      </c>
      <c r="L143">
        <v>0.87770000000000004</v>
      </c>
      <c r="M143">
        <v>7.4700000000000003E-2</v>
      </c>
      <c r="N143">
        <v>784</v>
      </c>
      <c r="O143">
        <v>917</v>
      </c>
      <c r="P143">
        <v>15.708600000000001</v>
      </c>
      <c r="Q143">
        <v>4.9399999999999999E-2</v>
      </c>
      <c r="R143">
        <v>1.4292</v>
      </c>
      <c r="S143">
        <v>0.69969999999999999</v>
      </c>
      <c r="T143">
        <v>0.95050000000000001</v>
      </c>
    </row>
    <row r="144" spans="1:20" x14ac:dyDescent="0.25">
      <c r="A144">
        <v>143</v>
      </c>
      <c r="B144">
        <v>2E-3</v>
      </c>
      <c r="C144">
        <v>0</v>
      </c>
      <c r="D144">
        <v>0.1696</v>
      </c>
      <c r="E144">
        <v>2.5482999999999998</v>
      </c>
      <c r="F144">
        <v>2.0427</v>
      </c>
      <c r="G144">
        <v>5.1700000000000003E-2</v>
      </c>
      <c r="H144">
        <v>4.4900000000000002E-2</v>
      </c>
      <c r="I144">
        <v>5.3699999999999998E-2</v>
      </c>
      <c r="J144">
        <v>4.7899999999999998E-2</v>
      </c>
      <c r="K144">
        <v>10.272600000000001</v>
      </c>
      <c r="L144">
        <v>0.88280000000000003</v>
      </c>
      <c r="M144">
        <v>6.1699999999999998E-2</v>
      </c>
      <c r="N144">
        <v>1134</v>
      </c>
      <c r="O144">
        <v>927</v>
      </c>
      <c r="P144">
        <v>33.1113</v>
      </c>
      <c r="Q144">
        <v>4.4900000000000002E-2</v>
      </c>
      <c r="R144">
        <v>1.1193</v>
      </c>
      <c r="S144">
        <v>0.89339999999999997</v>
      </c>
      <c r="T144">
        <v>0.94789999999999996</v>
      </c>
    </row>
    <row r="145" spans="1:20" s="1" customFormat="1" x14ac:dyDescent="0.25">
      <c r="A145" s="1">
        <v>144</v>
      </c>
      <c r="B145" s="1">
        <v>6.9999999999999999E-4</v>
      </c>
      <c r="C145" s="1">
        <v>0</v>
      </c>
      <c r="D145" s="1">
        <v>0.14000000000000001</v>
      </c>
      <c r="E145" s="1">
        <v>2.8786999999999998</v>
      </c>
      <c r="F145" s="1">
        <v>2.0427</v>
      </c>
      <c r="G145" s="1">
        <v>3.5999999999999997E-2</v>
      </c>
      <c r="H145" s="1">
        <v>4.0399999999999998E-2</v>
      </c>
      <c r="I145" s="1">
        <v>4.0800000000000003E-2</v>
      </c>
      <c r="J145" s="1">
        <v>2.3E-2</v>
      </c>
      <c r="K145" s="1">
        <v>57.2879</v>
      </c>
      <c r="L145" s="1">
        <v>0.47289999999999999</v>
      </c>
      <c r="M145" s="1">
        <v>4.6300000000000001E-2</v>
      </c>
      <c r="N145" s="1">
        <v>1281</v>
      </c>
      <c r="O145" s="1">
        <v>925</v>
      </c>
      <c r="P145" s="1">
        <v>39.093899999999998</v>
      </c>
      <c r="Q145" s="1">
        <v>3.2599999999999997E-2</v>
      </c>
      <c r="R145" s="1">
        <v>1.772</v>
      </c>
      <c r="S145" s="1">
        <v>0.56430000000000002</v>
      </c>
      <c r="T145" s="1">
        <v>0.66820000000000002</v>
      </c>
    </row>
    <row r="146" spans="1:20" s="1" customFormat="1" x14ac:dyDescent="0.25">
      <c r="A146" s="1">
        <v>145</v>
      </c>
      <c r="B146" s="1">
        <v>5.0000000000000001E-4</v>
      </c>
      <c r="C146" s="1">
        <v>0</v>
      </c>
      <c r="D146" s="1">
        <v>0.13420000000000001</v>
      </c>
      <c r="E146" s="1">
        <v>1.0539000000000001</v>
      </c>
      <c r="F146" s="1">
        <v>2.0943999999999998</v>
      </c>
      <c r="G146" s="1">
        <v>3.5999999999999997E-2</v>
      </c>
      <c r="H146" s="1">
        <v>3.15E-2</v>
      </c>
      <c r="I146" s="1">
        <v>3.0700000000000002E-2</v>
      </c>
      <c r="J146" s="1">
        <v>2.2700000000000001E-2</v>
      </c>
      <c r="K146" s="1">
        <v>47.777099999999997</v>
      </c>
      <c r="L146" s="1">
        <v>0.38080000000000003</v>
      </c>
      <c r="M146" s="1">
        <v>3.9300000000000002E-2</v>
      </c>
      <c r="N146" s="1">
        <v>469</v>
      </c>
      <c r="O146" s="1">
        <v>943</v>
      </c>
      <c r="P146" s="1">
        <v>30.963799999999999</v>
      </c>
      <c r="Q146" s="1">
        <v>3.1E-2</v>
      </c>
      <c r="R146" s="1">
        <v>1.3532999999999999</v>
      </c>
      <c r="S146" s="1">
        <v>0.7389</v>
      </c>
      <c r="T146" s="1">
        <v>0.64090000000000003</v>
      </c>
    </row>
    <row r="147" spans="1:20" x14ac:dyDescent="0.25">
      <c r="A147">
        <v>146</v>
      </c>
      <c r="B147">
        <v>1.5E-3</v>
      </c>
      <c r="C147">
        <v>0</v>
      </c>
      <c r="D147">
        <v>0.14649999999999999</v>
      </c>
      <c r="E147">
        <v>2.2000000000000001E-3</v>
      </c>
      <c r="F147">
        <v>2.1011000000000002</v>
      </c>
      <c r="G147">
        <v>4.0399999999999998E-2</v>
      </c>
      <c r="H147">
        <v>4.2700000000000002E-2</v>
      </c>
      <c r="I147">
        <v>4.4200000000000003E-2</v>
      </c>
      <c r="J147">
        <v>4.36E-2</v>
      </c>
      <c r="K147">
        <v>130.2158</v>
      </c>
      <c r="L147">
        <v>0.88649999999999995</v>
      </c>
      <c r="M147">
        <v>5.1200000000000002E-2</v>
      </c>
      <c r="N147">
        <v>1</v>
      </c>
      <c r="O147">
        <v>935</v>
      </c>
      <c r="P147">
        <v>127.875</v>
      </c>
      <c r="Q147">
        <v>4.0399999999999998E-2</v>
      </c>
      <c r="R147">
        <v>1.0146999999999999</v>
      </c>
      <c r="S147">
        <v>0.98550000000000004</v>
      </c>
      <c r="T147">
        <v>0.95850000000000002</v>
      </c>
    </row>
    <row r="148" spans="1:20" x14ac:dyDescent="0.25">
      <c r="A148">
        <v>147</v>
      </c>
      <c r="B148">
        <v>2.5999999999999999E-3</v>
      </c>
      <c r="C148">
        <v>0</v>
      </c>
      <c r="D148">
        <v>0.19889999999999999</v>
      </c>
      <c r="E148">
        <v>0.93710000000000004</v>
      </c>
      <c r="F148">
        <v>2.1011000000000002</v>
      </c>
      <c r="G148">
        <v>6.9699999999999998E-2</v>
      </c>
      <c r="H148">
        <v>4.4900000000000002E-2</v>
      </c>
      <c r="I148">
        <v>7.5499999999999998E-2</v>
      </c>
      <c r="J148">
        <v>4.3999999999999997E-2</v>
      </c>
      <c r="K148">
        <v>169.31559999999999</v>
      </c>
      <c r="L148">
        <v>0.82740000000000002</v>
      </c>
      <c r="M148">
        <v>7.4700000000000003E-2</v>
      </c>
      <c r="N148">
        <v>417</v>
      </c>
      <c r="O148">
        <v>938</v>
      </c>
      <c r="P148">
        <v>158.83869999999999</v>
      </c>
      <c r="Q148">
        <v>4.4299999999999999E-2</v>
      </c>
      <c r="R148">
        <v>1.7174</v>
      </c>
      <c r="S148">
        <v>0.58230000000000004</v>
      </c>
      <c r="T148">
        <v>0.95909999999999995</v>
      </c>
    </row>
    <row r="149" spans="1:20" x14ac:dyDescent="0.25">
      <c r="A149">
        <v>148</v>
      </c>
      <c r="B149">
        <v>2.3E-3</v>
      </c>
      <c r="C149">
        <v>0</v>
      </c>
      <c r="D149">
        <v>0.1817</v>
      </c>
      <c r="E149">
        <v>3.2315</v>
      </c>
      <c r="F149">
        <v>2.1124000000000001</v>
      </c>
      <c r="G149">
        <v>5.3900000000000003E-2</v>
      </c>
      <c r="H149">
        <v>4.7199999999999999E-2</v>
      </c>
      <c r="I149">
        <v>5.7799999999999997E-2</v>
      </c>
      <c r="J149">
        <v>5.04E-2</v>
      </c>
      <c r="K149">
        <v>172.4888</v>
      </c>
      <c r="L149">
        <v>0.87039999999999995</v>
      </c>
      <c r="M149">
        <v>6.25E-2</v>
      </c>
      <c r="N149">
        <v>1439</v>
      </c>
      <c r="O149">
        <v>942</v>
      </c>
      <c r="P149">
        <v>142.3058</v>
      </c>
      <c r="Q149">
        <v>4.7199999999999999E-2</v>
      </c>
      <c r="R149">
        <v>1.1455</v>
      </c>
      <c r="S149">
        <v>0.873</v>
      </c>
      <c r="T149">
        <v>0.95669999999999999</v>
      </c>
    </row>
    <row r="150" spans="1:20" x14ac:dyDescent="0.25">
      <c r="A150">
        <v>149</v>
      </c>
      <c r="B150">
        <v>1.1000000000000001E-3</v>
      </c>
      <c r="C150">
        <v>0</v>
      </c>
      <c r="D150">
        <v>0.1207</v>
      </c>
      <c r="E150">
        <v>3.3843000000000001</v>
      </c>
      <c r="F150">
        <v>2.1124000000000001</v>
      </c>
      <c r="G150">
        <v>3.5999999999999997E-2</v>
      </c>
      <c r="H150">
        <v>3.8199999999999998E-2</v>
      </c>
      <c r="I150">
        <v>3.9699999999999999E-2</v>
      </c>
      <c r="J150">
        <v>3.4599999999999999E-2</v>
      </c>
      <c r="K150">
        <v>56.605200000000004</v>
      </c>
      <c r="L150">
        <v>0.93259999999999998</v>
      </c>
      <c r="M150">
        <v>4.3200000000000002E-2</v>
      </c>
      <c r="N150">
        <v>1507</v>
      </c>
      <c r="O150">
        <v>955</v>
      </c>
      <c r="P150">
        <v>38.659799999999997</v>
      </c>
      <c r="Q150">
        <v>3.5700000000000003E-2</v>
      </c>
      <c r="R150">
        <v>1.1460999999999999</v>
      </c>
      <c r="S150">
        <v>0.87250000000000005</v>
      </c>
      <c r="T150">
        <v>0.9325</v>
      </c>
    </row>
    <row r="151" spans="1:20" x14ac:dyDescent="0.25">
      <c r="A151">
        <v>150</v>
      </c>
      <c r="B151">
        <v>2.7000000000000001E-3</v>
      </c>
      <c r="C151">
        <v>0</v>
      </c>
      <c r="D151">
        <v>0.20030000000000001</v>
      </c>
      <c r="E151">
        <v>2.5415999999999999</v>
      </c>
      <c r="F151">
        <v>2.1303000000000001</v>
      </c>
      <c r="G151">
        <v>6.2899999999999998E-2</v>
      </c>
      <c r="H151">
        <v>5.1700000000000003E-2</v>
      </c>
      <c r="I151">
        <v>6.6500000000000004E-2</v>
      </c>
      <c r="J151">
        <v>5.2600000000000001E-2</v>
      </c>
      <c r="K151">
        <v>175.80170000000001</v>
      </c>
      <c r="L151">
        <v>0.8609</v>
      </c>
      <c r="M151">
        <v>6.9199999999999998E-2</v>
      </c>
      <c r="N151">
        <v>1132</v>
      </c>
      <c r="O151">
        <v>951</v>
      </c>
      <c r="P151">
        <v>144.24610000000001</v>
      </c>
      <c r="Q151">
        <v>5.0200000000000002E-2</v>
      </c>
      <c r="R151">
        <v>1.2628999999999999</v>
      </c>
      <c r="S151">
        <v>0.79179999999999995</v>
      </c>
      <c r="T151">
        <v>0.94610000000000005</v>
      </c>
    </row>
    <row r="152" spans="1:20" x14ac:dyDescent="0.25">
      <c r="A152">
        <v>151</v>
      </c>
      <c r="B152">
        <v>3.8999999999999998E-3</v>
      </c>
      <c r="C152">
        <v>0</v>
      </c>
      <c r="D152">
        <v>0.2349</v>
      </c>
      <c r="E152">
        <v>0.10340000000000001</v>
      </c>
      <c r="F152">
        <v>2.1326000000000001</v>
      </c>
      <c r="G152">
        <v>6.7400000000000002E-2</v>
      </c>
      <c r="H152">
        <v>6.5199999999999994E-2</v>
      </c>
      <c r="I152">
        <v>7.1900000000000006E-2</v>
      </c>
      <c r="J152">
        <v>6.9500000000000006E-2</v>
      </c>
      <c r="K152">
        <v>3.0257000000000001</v>
      </c>
      <c r="L152">
        <v>0.89370000000000005</v>
      </c>
      <c r="M152">
        <v>8.1000000000000003E-2</v>
      </c>
      <c r="N152">
        <v>46</v>
      </c>
      <c r="O152">
        <v>973</v>
      </c>
      <c r="P152">
        <v>33.690100000000001</v>
      </c>
      <c r="Q152">
        <v>6.5199999999999994E-2</v>
      </c>
      <c r="R152">
        <v>1.0353000000000001</v>
      </c>
      <c r="S152">
        <v>0.96589999999999998</v>
      </c>
      <c r="T152">
        <v>0.96640000000000004</v>
      </c>
    </row>
    <row r="153" spans="1:20" x14ac:dyDescent="0.25">
      <c r="A153">
        <v>152</v>
      </c>
      <c r="B153">
        <v>1.6999999999999999E-3</v>
      </c>
      <c r="C153">
        <v>0</v>
      </c>
      <c r="D153">
        <v>0.1542</v>
      </c>
      <c r="E153">
        <v>1.9708000000000001</v>
      </c>
      <c r="F153">
        <v>2.1505999999999998</v>
      </c>
      <c r="G153">
        <v>4.7199999999999999E-2</v>
      </c>
      <c r="H153">
        <v>3.8199999999999998E-2</v>
      </c>
      <c r="I153">
        <v>5.1999999999999998E-2</v>
      </c>
      <c r="J153">
        <v>4.0399999999999998E-2</v>
      </c>
      <c r="K153">
        <v>170.71619999999999</v>
      </c>
      <c r="L153">
        <v>0.87250000000000005</v>
      </c>
      <c r="M153">
        <v>5.5800000000000002E-2</v>
      </c>
      <c r="N153">
        <v>878</v>
      </c>
      <c r="O153">
        <v>957</v>
      </c>
      <c r="P153">
        <v>139.8991</v>
      </c>
      <c r="Q153">
        <v>3.8199999999999998E-2</v>
      </c>
      <c r="R153">
        <v>1.2856000000000001</v>
      </c>
      <c r="S153">
        <v>0.77790000000000004</v>
      </c>
      <c r="T153">
        <v>0.96319999999999995</v>
      </c>
    </row>
    <row r="154" spans="1:20" x14ac:dyDescent="0.25">
      <c r="A154">
        <v>153</v>
      </c>
      <c r="B154">
        <v>1.6000000000000001E-3</v>
      </c>
      <c r="C154">
        <v>0</v>
      </c>
      <c r="D154">
        <v>0.1542</v>
      </c>
      <c r="E154">
        <v>2.7145999999999999</v>
      </c>
      <c r="F154">
        <v>2.1640000000000001</v>
      </c>
      <c r="G154">
        <v>4.4900000000000002E-2</v>
      </c>
      <c r="H154">
        <v>4.0399999999999998E-2</v>
      </c>
      <c r="I154">
        <v>4.7600000000000003E-2</v>
      </c>
      <c r="J154">
        <v>4.2999999999999997E-2</v>
      </c>
      <c r="K154">
        <v>12.187200000000001</v>
      </c>
      <c r="L154">
        <v>0.84850000000000003</v>
      </c>
      <c r="M154">
        <v>5.4899999999999997E-2</v>
      </c>
      <c r="N154">
        <v>1208</v>
      </c>
      <c r="O154">
        <v>980</v>
      </c>
      <c r="P154">
        <v>34.991999999999997</v>
      </c>
      <c r="Q154">
        <v>4.0399999999999998E-2</v>
      </c>
      <c r="R154">
        <v>1.1066</v>
      </c>
      <c r="S154">
        <v>0.90369999999999995</v>
      </c>
      <c r="T154">
        <v>0.94359999999999999</v>
      </c>
    </row>
    <row r="155" spans="1:20" x14ac:dyDescent="0.25">
      <c r="A155">
        <v>154</v>
      </c>
      <c r="B155">
        <v>1.6000000000000001E-3</v>
      </c>
      <c r="C155">
        <v>0</v>
      </c>
      <c r="D155">
        <v>0.154</v>
      </c>
      <c r="E155">
        <v>3.3169</v>
      </c>
      <c r="F155">
        <v>2.1798000000000002</v>
      </c>
      <c r="G155">
        <v>4.2700000000000002E-2</v>
      </c>
      <c r="H155">
        <v>4.7199999999999999E-2</v>
      </c>
      <c r="I155">
        <v>5.1400000000000001E-2</v>
      </c>
      <c r="J155">
        <v>3.8399999999999997E-2</v>
      </c>
      <c r="K155">
        <v>117.9385</v>
      </c>
      <c r="L155">
        <v>0.82150000000000001</v>
      </c>
      <c r="M155">
        <v>5.5599999999999997E-2</v>
      </c>
      <c r="N155">
        <v>1478</v>
      </c>
      <c r="O155">
        <v>970</v>
      </c>
      <c r="P155">
        <v>133.36340000000001</v>
      </c>
      <c r="Q155">
        <v>4.0399999999999998E-2</v>
      </c>
      <c r="R155">
        <v>1.3372999999999999</v>
      </c>
      <c r="S155">
        <v>0.74780000000000002</v>
      </c>
      <c r="T155">
        <v>0.91100000000000003</v>
      </c>
    </row>
    <row r="156" spans="1:20" x14ac:dyDescent="0.25">
      <c r="A156">
        <v>155</v>
      </c>
      <c r="B156">
        <v>1.5E-3</v>
      </c>
      <c r="C156">
        <v>0</v>
      </c>
      <c r="D156">
        <v>0.1421</v>
      </c>
      <c r="E156">
        <v>0.61350000000000005</v>
      </c>
      <c r="F156">
        <v>2.2044999999999999</v>
      </c>
      <c r="G156">
        <v>4.0399999999999998E-2</v>
      </c>
      <c r="H156">
        <v>4.0399999999999998E-2</v>
      </c>
      <c r="I156">
        <v>4.41E-2</v>
      </c>
      <c r="J156">
        <v>4.36E-2</v>
      </c>
      <c r="K156">
        <v>173.39259999999999</v>
      </c>
      <c r="L156">
        <v>0.94030000000000002</v>
      </c>
      <c r="M156">
        <v>4.99E-2</v>
      </c>
      <c r="N156">
        <v>273</v>
      </c>
      <c r="O156">
        <v>997</v>
      </c>
      <c r="P156">
        <v>35.837699999999998</v>
      </c>
      <c r="Q156">
        <v>4.0399999999999998E-2</v>
      </c>
      <c r="R156">
        <v>1.0103</v>
      </c>
      <c r="S156">
        <v>0.98980000000000001</v>
      </c>
      <c r="T156">
        <v>0.97240000000000004</v>
      </c>
    </row>
    <row r="157" spans="1:20" x14ac:dyDescent="0.25">
      <c r="A157">
        <v>156</v>
      </c>
      <c r="B157">
        <v>2.5999999999999999E-3</v>
      </c>
      <c r="C157">
        <v>0</v>
      </c>
      <c r="D157">
        <v>0.19259999999999999</v>
      </c>
      <c r="E157">
        <v>1.1551</v>
      </c>
      <c r="F157">
        <v>2.2090000000000001</v>
      </c>
      <c r="G157">
        <v>6.0699999999999997E-2</v>
      </c>
      <c r="H157">
        <v>4.9399999999999999E-2</v>
      </c>
      <c r="I157">
        <v>6.4199999999999993E-2</v>
      </c>
      <c r="J157">
        <v>5.0999999999999997E-2</v>
      </c>
      <c r="K157">
        <v>178.78299999999999</v>
      </c>
      <c r="L157">
        <v>0.87090000000000001</v>
      </c>
      <c r="M157">
        <v>6.6699999999999995E-2</v>
      </c>
      <c r="N157">
        <v>515</v>
      </c>
      <c r="O157">
        <v>1003</v>
      </c>
      <c r="P157">
        <v>32.619199999999999</v>
      </c>
      <c r="Q157">
        <v>4.8800000000000003E-2</v>
      </c>
      <c r="R157">
        <v>1.2594000000000001</v>
      </c>
      <c r="S157">
        <v>0.79400000000000004</v>
      </c>
      <c r="T157">
        <v>0.95050000000000001</v>
      </c>
    </row>
    <row r="158" spans="1:20" x14ac:dyDescent="0.25">
      <c r="A158">
        <v>157</v>
      </c>
      <c r="B158">
        <v>1.2999999999999999E-3</v>
      </c>
      <c r="C158">
        <v>0</v>
      </c>
      <c r="D158">
        <v>0.1381</v>
      </c>
      <c r="E158">
        <v>2.7347999999999999</v>
      </c>
      <c r="F158">
        <v>2.218</v>
      </c>
      <c r="G158">
        <v>4.7199999999999999E-2</v>
      </c>
      <c r="H158">
        <v>3.3700000000000001E-2</v>
      </c>
      <c r="I158">
        <v>4.9700000000000001E-2</v>
      </c>
      <c r="J158">
        <v>3.2899999999999999E-2</v>
      </c>
      <c r="K158">
        <v>0.48720000000000002</v>
      </c>
      <c r="L158">
        <v>0.84509999999999996</v>
      </c>
      <c r="M158">
        <v>5.0500000000000003E-2</v>
      </c>
      <c r="N158">
        <v>1217</v>
      </c>
      <c r="O158">
        <v>998</v>
      </c>
      <c r="P158">
        <v>20.854500000000002</v>
      </c>
      <c r="Q158">
        <v>3.3399999999999999E-2</v>
      </c>
      <c r="R158">
        <v>1.5113000000000001</v>
      </c>
      <c r="S158">
        <v>0.66169999999999995</v>
      </c>
      <c r="T158">
        <v>0.93210000000000004</v>
      </c>
    </row>
    <row r="159" spans="1:20" x14ac:dyDescent="0.25">
      <c r="A159">
        <v>158</v>
      </c>
      <c r="B159">
        <v>1.5E-3</v>
      </c>
      <c r="C159">
        <v>0</v>
      </c>
      <c r="D159">
        <v>0.1452</v>
      </c>
      <c r="E159">
        <v>1.3190999999999999</v>
      </c>
      <c r="F159">
        <v>2.2202000000000002</v>
      </c>
      <c r="G159">
        <v>4.4900000000000002E-2</v>
      </c>
      <c r="H159">
        <v>3.8199999999999998E-2</v>
      </c>
      <c r="I159">
        <v>4.8000000000000001E-2</v>
      </c>
      <c r="J159">
        <v>3.9600000000000003E-2</v>
      </c>
      <c r="K159">
        <v>172.3252</v>
      </c>
      <c r="L159">
        <v>0.89059999999999995</v>
      </c>
      <c r="M159">
        <v>5.1299999999999998E-2</v>
      </c>
      <c r="N159">
        <v>587</v>
      </c>
      <c r="O159">
        <v>1002</v>
      </c>
      <c r="P159">
        <v>28.8108</v>
      </c>
      <c r="Q159">
        <v>3.7900000000000003E-2</v>
      </c>
      <c r="R159">
        <v>1.2123999999999999</v>
      </c>
      <c r="S159">
        <v>0.82479999999999998</v>
      </c>
      <c r="T159">
        <v>0.94720000000000004</v>
      </c>
    </row>
    <row r="160" spans="1:20" x14ac:dyDescent="0.25">
      <c r="A160">
        <v>159</v>
      </c>
      <c r="B160">
        <v>2.5999999999999999E-3</v>
      </c>
      <c r="C160">
        <v>0</v>
      </c>
      <c r="D160">
        <v>0.18859999999999999</v>
      </c>
      <c r="E160">
        <v>6.5199999999999994E-2</v>
      </c>
      <c r="F160">
        <v>2.2360000000000002</v>
      </c>
      <c r="G160">
        <v>5.1700000000000003E-2</v>
      </c>
      <c r="H160">
        <v>5.8400000000000001E-2</v>
      </c>
      <c r="I160">
        <v>6.1100000000000002E-2</v>
      </c>
      <c r="J160">
        <v>5.3400000000000003E-2</v>
      </c>
      <c r="K160">
        <v>77.298699999999997</v>
      </c>
      <c r="L160">
        <v>0.90600000000000003</v>
      </c>
      <c r="M160">
        <v>6.5600000000000006E-2</v>
      </c>
      <c r="N160">
        <v>29</v>
      </c>
      <c r="O160">
        <v>1019</v>
      </c>
      <c r="P160">
        <v>38.046999999999997</v>
      </c>
      <c r="Q160">
        <v>5.1700000000000003E-2</v>
      </c>
      <c r="R160">
        <v>1.1442000000000001</v>
      </c>
      <c r="S160">
        <v>0.874</v>
      </c>
      <c r="T160">
        <v>0.96030000000000004</v>
      </c>
    </row>
    <row r="161" spans="1:20" x14ac:dyDescent="0.25">
      <c r="A161">
        <v>160</v>
      </c>
      <c r="B161">
        <v>5.0000000000000001E-4</v>
      </c>
      <c r="C161">
        <v>0</v>
      </c>
      <c r="D161">
        <v>0.1159</v>
      </c>
      <c r="E161">
        <v>2.2360000000000002</v>
      </c>
      <c r="F161">
        <v>2.2854000000000001</v>
      </c>
      <c r="G161">
        <v>5.1700000000000003E-2</v>
      </c>
      <c r="H161">
        <v>1.35E-2</v>
      </c>
      <c r="I161">
        <v>5.3699999999999998E-2</v>
      </c>
      <c r="J161">
        <v>1.2800000000000001E-2</v>
      </c>
      <c r="K161">
        <v>178.2807</v>
      </c>
      <c r="L161">
        <v>0.50590000000000002</v>
      </c>
      <c r="M161">
        <v>5.21E-2</v>
      </c>
      <c r="N161">
        <v>995</v>
      </c>
      <c r="O161">
        <v>1023</v>
      </c>
      <c r="P161">
        <v>7.4314</v>
      </c>
      <c r="Q161">
        <v>1.35E-2</v>
      </c>
      <c r="R161">
        <v>4.1974999999999998</v>
      </c>
      <c r="S161">
        <v>0.2382</v>
      </c>
      <c r="T161">
        <v>0.91059999999999997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9F5C3-3D75-4900-AEE0-49261D1D3A4C}">
  <dimension ref="A1:W149"/>
  <sheetViews>
    <sheetView tabSelected="1" topLeftCell="A127" workbookViewId="0">
      <selection activeCell="Q147" sqref="Q147"/>
    </sheetView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22</v>
      </c>
      <c r="I1" t="s">
        <v>7</v>
      </c>
      <c r="J1" t="s">
        <v>23</v>
      </c>
      <c r="K1" t="s">
        <v>24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25">
      <c r="A2">
        <v>1</v>
      </c>
      <c r="B2">
        <v>1.1000000000000001E-3</v>
      </c>
      <c r="C2">
        <v>0</v>
      </c>
      <c r="D2">
        <v>0.19040000000000001</v>
      </c>
      <c r="E2">
        <v>1.1978</v>
      </c>
      <c r="F2">
        <v>2.2000000000000001E-3</v>
      </c>
      <c r="G2">
        <v>8.5400000000000004E-2</v>
      </c>
      <c r="H2">
        <f>G2*1000</f>
        <v>85.4</v>
      </c>
      <c r="I2">
        <v>1.5699999999999999E-2</v>
      </c>
      <c r="J2">
        <f>I2*1000</f>
        <v>15.7</v>
      </c>
      <c r="K2">
        <f>H2/J2</f>
        <v>5.4394904458598736</v>
      </c>
      <c r="L2">
        <v>9.2399999999999996E-2</v>
      </c>
      <c r="M2">
        <v>1.4999999999999999E-2</v>
      </c>
      <c r="N2">
        <v>177.37280000000001</v>
      </c>
      <c r="O2">
        <v>0.37640000000000001</v>
      </c>
      <c r="P2">
        <v>8.6499999999999994E-2</v>
      </c>
      <c r="Q2">
        <v>533</v>
      </c>
      <c r="R2">
        <v>1</v>
      </c>
      <c r="S2">
        <v>171.0274</v>
      </c>
      <c r="T2">
        <v>1.5699999999999999E-2</v>
      </c>
      <c r="U2">
        <v>6.1749999999999998</v>
      </c>
      <c r="V2">
        <v>0.16189999999999999</v>
      </c>
      <c r="W2">
        <v>0.93069999999999997</v>
      </c>
    </row>
    <row r="3" spans="1:23" x14ac:dyDescent="0.25">
      <c r="A3">
        <v>2</v>
      </c>
      <c r="B3">
        <v>1.6000000000000001E-3</v>
      </c>
      <c r="C3">
        <v>0</v>
      </c>
      <c r="D3">
        <v>0.155</v>
      </c>
      <c r="E3">
        <v>1.9146000000000001</v>
      </c>
      <c r="F3">
        <v>2.2000000000000001E-3</v>
      </c>
      <c r="G3">
        <v>5.1700000000000003E-2</v>
      </c>
      <c r="H3">
        <f t="shared" ref="H3:H66" si="0">G3*1000</f>
        <v>51.7</v>
      </c>
      <c r="I3">
        <v>3.3700000000000001E-2</v>
      </c>
      <c r="J3">
        <f t="shared" ref="J3:J66" si="1">I3*1000</f>
        <v>33.700000000000003</v>
      </c>
      <c r="K3">
        <f t="shared" ref="K3:K66" si="2">H3/J3</f>
        <v>1.5341246290801187</v>
      </c>
      <c r="L3">
        <v>5.4899999999999997E-2</v>
      </c>
      <c r="M3">
        <v>3.7499999999999999E-2</v>
      </c>
      <c r="N3">
        <v>3.3662000000000001</v>
      </c>
      <c r="O3">
        <v>0.84530000000000005</v>
      </c>
      <c r="P3">
        <v>5.7299999999999997E-2</v>
      </c>
      <c r="Q3">
        <v>852</v>
      </c>
      <c r="R3">
        <v>14</v>
      </c>
      <c r="S3">
        <v>25.56</v>
      </c>
      <c r="T3">
        <v>3.3700000000000001E-2</v>
      </c>
      <c r="U3">
        <v>1.4626999999999999</v>
      </c>
      <c r="V3">
        <v>0.68369999999999997</v>
      </c>
      <c r="W3">
        <v>0.96970000000000001</v>
      </c>
    </row>
    <row r="4" spans="1:23" x14ac:dyDescent="0.25">
      <c r="A4">
        <v>3</v>
      </c>
      <c r="B4">
        <v>2E-3</v>
      </c>
      <c r="C4">
        <v>0</v>
      </c>
      <c r="D4">
        <v>0.16880000000000001</v>
      </c>
      <c r="E4">
        <v>3.1955</v>
      </c>
      <c r="F4">
        <v>2.92E-2</v>
      </c>
      <c r="G4">
        <v>4.9399999999999999E-2</v>
      </c>
      <c r="H4">
        <f t="shared" si="0"/>
        <v>49.4</v>
      </c>
      <c r="I4">
        <v>4.9399999999999999E-2</v>
      </c>
      <c r="J4">
        <f t="shared" si="1"/>
        <v>49.4</v>
      </c>
      <c r="K4">
        <f t="shared" si="2"/>
        <v>1</v>
      </c>
      <c r="L4">
        <v>5.1799999999999999E-2</v>
      </c>
      <c r="M4">
        <v>5.0099999999999999E-2</v>
      </c>
      <c r="N4">
        <v>49.908999999999999</v>
      </c>
      <c r="O4">
        <v>0.89759999999999995</v>
      </c>
      <c r="P4">
        <v>5.8599999999999999E-2</v>
      </c>
      <c r="Q4">
        <v>1422</v>
      </c>
      <c r="R4">
        <v>32</v>
      </c>
      <c r="S4">
        <v>32.471200000000003</v>
      </c>
      <c r="T4">
        <v>4.9399999999999999E-2</v>
      </c>
      <c r="U4">
        <v>1.0341</v>
      </c>
      <c r="V4">
        <v>0.96709999999999996</v>
      </c>
      <c r="W4">
        <v>0.94599999999999995</v>
      </c>
    </row>
    <row r="5" spans="1:23" x14ac:dyDescent="0.25">
      <c r="A5">
        <v>4</v>
      </c>
      <c r="B5">
        <v>2.0999999999999999E-3</v>
      </c>
      <c r="C5">
        <v>0</v>
      </c>
      <c r="D5">
        <v>0.1701</v>
      </c>
      <c r="E5">
        <v>1.5079</v>
      </c>
      <c r="F5">
        <v>3.8199999999999998E-2</v>
      </c>
      <c r="G5">
        <v>5.3900000000000003E-2</v>
      </c>
      <c r="H5">
        <f t="shared" si="0"/>
        <v>53.900000000000006</v>
      </c>
      <c r="I5">
        <v>4.4900000000000002E-2</v>
      </c>
      <c r="J5">
        <f t="shared" si="1"/>
        <v>44.900000000000006</v>
      </c>
      <c r="K5">
        <f t="shared" si="2"/>
        <v>1.200445434298441</v>
      </c>
      <c r="L5">
        <v>5.7000000000000002E-2</v>
      </c>
      <c r="M5">
        <v>4.6899999999999997E-2</v>
      </c>
      <c r="N5">
        <v>162.50290000000001</v>
      </c>
      <c r="O5">
        <v>0.9123</v>
      </c>
      <c r="P5">
        <v>6.1100000000000002E-2</v>
      </c>
      <c r="Q5">
        <v>672</v>
      </c>
      <c r="R5">
        <v>19</v>
      </c>
      <c r="S5">
        <v>143.9726</v>
      </c>
      <c r="T5">
        <v>4.4900000000000002E-2</v>
      </c>
      <c r="U5">
        <v>1.2166999999999999</v>
      </c>
      <c r="V5">
        <v>0.82189999999999996</v>
      </c>
      <c r="W5">
        <v>0.95960000000000001</v>
      </c>
    </row>
    <row r="6" spans="1:23" x14ac:dyDescent="0.25">
      <c r="A6">
        <v>5</v>
      </c>
      <c r="B6">
        <v>5.4999999999999997E-3</v>
      </c>
      <c r="C6">
        <v>0</v>
      </c>
      <c r="D6">
        <v>0.28039999999999998</v>
      </c>
      <c r="E6">
        <v>9.4399999999999998E-2</v>
      </c>
      <c r="F6">
        <v>7.8700000000000006E-2</v>
      </c>
      <c r="G6">
        <v>8.09E-2</v>
      </c>
      <c r="H6">
        <f t="shared" si="0"/>
        <v>80.900000000000006</v>
      </c>
      <c r="I6">
        <v>7.6399999999999996E-2</v>
      </c>
      <c r="J6">
        <f t="shared" si="1"/>
        <v>76.399999999999991</v>
      </c>
      <c r="K6">
        <f t="shared" si="2"/>
        <v>1.0589005235602096</v>
      </c>
      <c r="L6">
        <v>8.5300000000000001E-2</v>
      </c>
      <c r="M6">
        <v>8.2000000000000003E-2</v>
      </c>
      <c r="N6">
        <v>12.0549</v>
      </c>
      <c r="O6">
        <v>0.87829999999999997</v>
      </c>
      <c r="P6">
        <v>9.6699999999999994E-2</v>
      </c>
      <c r="Q6">
        <v>43</v>
      </c>
      <c r="R6">
        <v>64</v>
      </c>
      <c r="S6">
        <v>35.537700000000001</v>
      </c>
      <c r="T6">
        <v>7.6399999999999996E-2</v>
      </c>
      <c r="U6">
        <v>1.0408999999999999</v>
      </c>
      <c r="V6">
        <v>0.9607</v>
      </c>
      <c r="W6">
        <v>0.96630000000000005</v>
      </c>
    </row>
    <row r="7" spans="1:23" x14ac:dyDescent="0.25">
      <c r="A7">
        <v>6</v>
      </c>
      <c r="B7">
        <v>1.8E-3</v>
      </c>
      <c r="C7">
        <v>0</v>
      </c>
      <c r="D7">
        <v>0.15790000000000001</v>
      </c>
      <c r="E7">
        <v>0.67869999999999997</v>
      </c>
      <c r="F7">
        <v>7.8700000000000006E-2</v>
      </c>
      <c r="G7">
        <v>4.9399999999999999E-2</v>
      </c>
      <c r="H7">
        <f t="shared" si="0"/>
        <v>49.4</v>
      </c>
      <c r="I7">
        <v>4.2700000000000002E-2</v>
      </c>
      <c r="J7">
        <f t="shared" si="1"/>
        <v>42.7</v>
      </c>
      <c r="K7">
        <f t="shared" si="2"/>
        <v>1.1569086651053864</v>
      </c>
      <c r="L7">
        <v>5.0599999999999999E-2</v>
      </c>
      <c r="M7">
        <v>4.4499999999999998E-2</v>
      </c>
      <c r="N7">
        <v>8.4617000000000004</v>
      </c>
      <c r="O7">
        <v>0.89039999999999997</v>
      </c>
      <c r="P7">
        <v>5.4899999999999997E-2</v>
      </c>
      <c r="Q7">
        <v>303</v>
      </c>
      <c r="R7">
        <v>52</v>
      </c>
      <c r="S7">
        <v>34.991999999999997</v>
      </c>
      <c r="T7">
        <v>4.2700000000000002E-2</v>
      </c>
      <c r="U7">
        <v>1.1356999999999999</v>
      </c>
      <c r="V7">
        <v>0.88049999999999995</v>
      </c>
      <c r="W7">
        <v>0.94210000000000005</v>
      </c>
    </row>
    <row r="8" spans="1:23" x14ac:dyDescent="0.25">
      <c r="A8">
        <v>7</v>
      </c>
      <c r="B8">
        <v>1.1999999999999999E-3</v>
      </c>
      <c r="C8">
        <v>0</v>
      </c>
      <c r="D8">
        <v>0.14599999999999999</v>
      </c>
      <c r="E8">
        <v>2.2000000000000001E-3</v>
      </c>
      <c r="F8">
        <v>8.09E-2</v>
      </c>
      <c r="G8">
        <v>2.7E-2</v>
      </c>
      <c r="H8">
        <f t="shared" si="0"/>
        <v>27</v>
      </c>
      <c r="I8">
        <v>5.3900000000000003E-2</v>
      </c>
      <c r="J8">
        <f t="shared" si="1"/>
        <v>53.900000000000006</v>
      </c>
      <c r="K8">
        <f t="shared" si="2"/>
        <v>0.5009276437847866</v>
      </c>
      <c r="L8">
        <v>5.9400000000000001E-2</v>
      </c>
      <c r="M8">
        <v>2.6599999999999999E-2</v>
      </c>
      <c r="N8">
        <v>87.4435</v>
      </c>
      <c r="O8">
        <v>0.73229999999999995</v>
      </c>
      <c r="P8">
        <v>5.6800000000000003E-2</v>
      </c>
      <c r="Q8">
        <v>1</v>
      </c>
      <c r="R8">
        <v>36</v>
      </c>
      <c r="S8">
        <v>108.4349</v>
      </c>
      <c r="T8">
        <v>2.7E-2</v>
      </c>
      <c r="U8">
        <v>2.2309000000000001</v>
      </c>
      <c r="V8">
        <v>0.44819999999999999</v>
      </c>
      <c r="W8">
        <v>0.95350000000000001</v>
      </c>
    </row>
    <row r="9" spans="1:23" x14ac:dyDescent="0.25">
      <c r="A9">
        <v>8</v>
      </c>
      <c r="B9">
        <v>2.8999999999999998E-3</v>
      </c>
      <c r="C9">
        <v>0</v>
      </c>
      <c r="D9">
        <v>0.19889999999999999</v>
      </c>
      <c r="E9">
        <v>3.0539000000000001</v>
      </c>
      <c r="F9">
        <v>9.6600000000000005E-2</v>
      </c>
      <c r="G9">
        <v>5.62E-2</v>
      </c>
      <c r="H9">
        <f t="shared" si="0"/>
        <v>56.2</v>
      </c>
      <c r="I9">
        <v>5.8400000000000001E-2</v>
      </c>
      <c r="J9">
        <f t="shared" si="1"/>
        <v>58.4</v>
      </c>
      <c r="K9">
        <f t="shared" si="2"/>
        <v>0.96232876712328774</v>
      </c>
      <c r="L9">
        <v>6.3600000000000004E-2</v>
      </c>
      <c r="M9">
        <v>5.7500000000000002E-2</v>
      </c>
      <c r="N9">
        <v>61.539400000000001</v>
      </c>
      <c r="O9">
        <v>0.91239999999999999</v>
      </c>
      <c r="P9">
        <v>7.0599999999999996E-2</v>
      </c>
      <c r="Q9">
        <v>1359</v>
      </c>
      <c r="R9">
        <v>65</v>
      </c>
      <c r="S9">
        <v>37.2348</v>
      </c>
      <c r="T9">
        <v>5.57E-2</v>
      </c>
      <c r="U9">
        <v>1.107</v>
      </c>
      <c r="V9">
        <v>0.90339999999999998</v>
      </c>
      <c r="W9">
        <v>0.96279999999999999</v>
      </c>
    </row>
    <row r="10" spans="1:23" x14ac:dyDescent="0.25">
      <c r="A10">
        <v>9</v>
      </c>
      <c r="B10">
        <v>2.5000000000000001E-3</v>
      </c>
      <c r="C10">
        <v>0</v>
      </c>
      <c r="D10">
        <v>0.20230000000000001</v>
      </c>
      <c r="E10">
        <v>1.3236000000000001</v>
      </c>
      <c r="F10">
        <v>0.1011</v>
      </c>
      <c r="G10">
        <v>6.2899999999999998E-2</v>
      </c>
      <c r="H10">
        <f t="shared" si="0"/>
        <v>62.9</v>
      </c>
      <c r="I10">
        <v>4.4900000000000002E-2</v>
      </c>
      <c r="J10">
        <f t="shared" si="1"/>
        <v>44.900000000000006</v>
      </c>
      <c r="K10">
        <f t="shared" si="2"/>
        <v>1.4008908685968817</v>
      </c>
      <c r="L10">
        <v>6.7199999999999996E-2</v>
      </c>
      <c r="M10">
        <v>4.7100000000000003E-2</v>
      </c>
      <c r="N10">
        <v>179.7946</v>
      </c>
      <c r="O10">
        <v>0.76259999999999994</v>
      </c>
      <c r="P10">
        <v>7.3599999999999999E-2</v>
      </c>
      <c r="Q10">
        <v>589</v>
      </c>
      <c r="R10">
        <v>64</v>
      </c>
      <c r="S10">
        <v>31.2637</v>
      </c>
      <c r="T10">
        <v>4.4900000000000002E-2</v>
      </c>
      <c r="U10">
        <v>1.4280999999999999</v>
      </c>
      <c r="V10">
        <v>0.70020000000000004</v>
      </c>
      <c r="W10">
        <v>0.92920000000000003</v>
      </c>
    </row>
    <row r="11" spans="1:23" x14ac:dyDescent="0.25">
      <c r="A11">
        <v>10</v>
      </c>
      <c r="B11">
        <v>2E-3</v>
      </c>
      <c r="C11">
        <v>0</v>
      </c>
      <c r="D11">
        <v>0.16689999999999999</v>
      </c>
      <c r="E11">
        <v>2.0607000000000002</v>
      </c>
      <c r="F11">
        <v>0.13930000000000001</v>
      </c>
      <c r="G11">
        <v>5.3900000000000003E-2</v>
      </c>
      <c r="H11">
        <f t="shared" si="0"/>
        <v>53.900000000000006</v>
      </c>
      <c r="I11">
        <v>4.2700000000000002E-2</v>
      </c>
      <c r="J11">
        <f t="shared" si="1"/>
        <v>42.7</v>
      </c>
      <c r="K11">
        <f t="shared" si="2"/>
        <v>1.2622950819672132</v>
      </c>
      <c r="L11">
        <v>5.6599999999999998E-2</v>
      </c>
      <c r="M11">
        <v>4.5699999999999998E-2</v>
      </c>
      <c r="N11">
        <v>175.8021</v>
      </c>
      <c r="O11">
        <v>0.91549999999999998</v>
      </c>
      <c r="P11">
        <v>5.8599999999999999E-2</v>
      </c>
      <c r="Q11">
        <v>918</v>
      </c>
      <c r="R11">
        <v>64</v>
      </c>
      <c r="S11">
        <v>147.52879999999999</v>
      </c>
      <c r="T11">
        <v>4.2700000000000002E-2</v>
      </c>
      <c r="U11">
        <v>1.2373000000000001</v>
      </c>
      <c r="V11">
        <v>0.80820000000000003</v>
      </c>
      <c r="W11">
        <v>0.9617</v>
      </c>
    </row>
    <row r="12" spans="1:23" x14ac:dyDescent="0.25">
      <c r="A12">
        <v>11</v>
      </c>
      <c r="B12">
        <v>8.0000000000000004E-4</v>
      </c>
      <c r="C12">
        <v>0</v>
      </c>
      <c r="D12">
        <v>0.1066</v>
      </c>
      <c r="E12">
        <v>1.7236</v>
      </c>
      <c r="F12">
        <v>0.15279999999999999</v>
      </c>
      <c r="G12">
        <v>2.92E-2</v>
      </c>
      <c r="H12">
        <f t="shared" si="0"/>
        <v>29.2</v>
      </c>
      <c r="I12">
        <v>3.3700000000000001E-2</v>
      </c>
      <c r="J12">
        <f t="shared" si="1"/>
        <v>33.700000000000003</v>
      </c>
      <c r="K12">
        <f t="shared" si="2"/>
        <v>0.86646884272997027</v>
      </c>
      <c r="L12">
        <v>3.4000000000000002E-2</v>
      </c>
      <c r="M12">
        <v>2.8400000000000002E-2</v>
      </c>
      <c r="N12">
        <v>110.4036</v>
      </c>
      <c r="O12">
        <v>0.83699999999999997</v>
      </c>
      <c r="P12">
        <v>3.8699999999999998E-2</v>
      </c>
      <c r="Q12">
        <v>768</v>
      </c>
      <c r="R12">
        <v>69</v>
      </c>
      <c r="S12">
        <v>125.5377</v>
      </c>
      <c r="T12">
        <v>2.92E-2</v>
      </c>
      <c r="U12">
        <v>1.1959</v>
      </c>
      <c r="V12">
        <v>0.83620000000000005</v>
      </c>
      <c r="W12">
        <v>0.90090000000000003</v>
      </c>
    </row>
    <row r="13" spans="1:23" x14ac:dyDescent="0.25">
      <c r="A13">
        <v>12</v>
      </c>
      <c r="B13">
        <v>1.5E-3</v>
      </c>
      <c r="C13">
        <v>0</v>
      </c>
      <c r="D13">
        <v>0.14949999999999999</v>
      </c>
      <c r="E13">
        <v>0.96399999999999997</v>
      </c>
      <c r="F13">
        <v>0.17080000000000001</v>
      </c>
      <c r="G13">
        <v>5.3900000000000003E-2</v>
      </c>
      <c r="H13">
        <f t="shared" si="0"/>
        <v>53.900000000000006</v>
      </c>
      <c r="I13">
        <v>3.5999999999999997E-2</v>
      </c>
      <c r="J13">
        <f t="shared" si="1"/>
        <v>36</v>
      </c>
      <c r="K13">
        <f t="shared" si="2"/>
        <v>1.4972222222222225</v>
      </c>
      <c r="L13">
        <v>5.5199999999999999E-2</v>
      </c>
      <c r="M13">
        <v>3.5200000000000002E-2</v>
      </c>
      <c r="N13">
        <v>166.20320000000001</v>
      </c>
      <c r="O13">
        <v>0.85750000000000004</v>
      </c>
      <c r="P13">
        <v>5.5599999999999997E-2</v>
      </c>
      <c r="Q13">
        <v>429</v>
      </c>
      <c r="R13">
        <v>82</v>
      </c>
      <c r="S13">
        <v>165.96379999999999</v>
      </c>
      <c r="T13">
        <v>3.5000000000000003E-2</v>
      </c>
      <c r="U13">
        <v>1.5702</v>
      </c>
      <c r="V13">
        <v>0.63690000000000002</v>
      </c>
      <c r="W13">
        <v>0.93210000000000004</v>
      </c>
    </row>
    <row r="14" spans="1:23" x14ac:dyDescent="0.25">
      <c r="A14">
        <v>13</v>
      </c>
      <c r="B14">
        <v>6.7999999999999996E-3</v>
      </c>
      <c r="C14">
        <v>0</v>
      </c>
      <c r="D14">
        <v>0.31419999999999998</v>
      </c>
      <c r="E14">
        <v>2.6674000000000002</v>
      </c>
      <c r="F14">
        <v>0.1888</v>
      </c>
      <c r="G14">
        <v>9.2100000000000001E-2</v>
      </c>
      <c r="H14">
        <f t="shared" si="0"/>
        <v>92.1</v>
      </c>
      <c r="I14">
        <v>8.5400000000000004E-2</v>
      </c>
      <c r="J14">
        <f t="shared" si="1"/>
        <v>85.4</v>
      </c>
      <c r="K14">
        <f t="shared" si="2"/>
        <v>1.078454332552693</v>
      </c>
      <c r="L14">
        <v>9.9000000000000005E-2</v>
      </c>
      <c r="M14">
        <v>8.7400000000000005E-2</v>
      </c>
      <c r="N14">
        <v>155.2953</v>
      </c>
      <c r="O14">
        <v>0.86429999999999996</v>
      </c>
      <c r="P14">
        <v>0.1113</v>
      </c>
      <c r="Q14">
        <v>1190</v>
      </c>
      <c r="R14">
        <v>85</v>
      </c>
      <c r="S14">
        <v>133.36340000000001</v>
      </c>
      <c r="T14">
        <v>8.3199999999999996E-2</v>
      </c>
      <c r="U14">
        <v>1.1333</v>
      </c>
      <c r="V14">
        <v>0.88239999999999996</v>
      </c>
      <c r="W14">
        <v>0.96450000000000002</v>
      </c>
    </row>
    <row r="15" spans="1:23" x14ac:dyDescent="0.25">
      <c r="A15">
        <v>14</v>
      </c>
      <c r="B15">
        <v>1.5E-3</v>
      </c>
      <c r="C15">
        <v>0</v>
      </c>
      <c r="D15">
        <v>0.1439</v>
      </c>
      <c r="E15">
        <v>0.64270000000000005</v>
      </c>
      <c r="F15">
        <v>0.2</v>
      </c>
      <c r="G15">
        <v>4.2700000000000002E-2</v>
      </c>
      <c r="H15">
        <f t="shared" si="0"/>
        <v>42.7</v>
      </c>
      <c r="I15">
        <v>4.0399999999999998E-2</v>
      </c>
      <c r="J15">
        <f t="shared" si="1"/>
        <v>40.4</v>
      </c>
      <c r="K15">
        <f t="shared" si="2"/>
        <v>1.056930693069307</v>
      </c>
      <c r="L15">
        <v>4.58E-2</v>
      </c>
      <c r="M15">
        <v>4.2500000000000003E-2</v>
      </c>
      <c r="N15">
        <v>158.19409999999999</v>
      </c>
      <c r="O15">
        <v>0.9284</v>
      </c>
      <c r="P15">
        <v>5.0900000000000001E-2</v>
      </c>
      <c r="Q15">
        <v>287</v>
      </c>
      <c r="R15">
        <v>90</v>
      </c>
      <c r="S15">
        <v>131.4237</v>
      </c>
      <c r="T15">
        <v>4.0399999999999998E-2</v>
      </c>
      <c r="U15">
        <v>1.0780000000000001</v>
      </c>
      <c r="V15">
        <v>0.92759999999999998</v>
      </c>
      <c r="W15">
        <v>0.96040000000000003</v>
      </c>
    </row>
    <row r="16" spans="1:23" x14ac:dyDescent="0.25">
      <c r="A16">
        <v>15</v>
      </c>
      <c r="B16">
        <v>8.0000000000000004E-4</v>
      </c>
      <c r="C16">
        <v>0</v>
      </c>
      <c r="D16">
        <v>0.1056</v>
      </c>
      <c r="E16">
        <v>2.3797999999999999</v>
      </c>
      <c r="F16">
        <v>0.24490000000000001</v>
      </c>
      <c r="G16">
        <v>3.15E-2</v>
      </c>
      <c r="H16">
        <f t="shared" si="0"/>
        <v>31.5</v>
      </c>
      <c r="I16">
        <v>2.92E-2</v>
      </c>
      <c r="J16">
        <f t="shared" si="1"/>
        <v>29.2</v>
      </c>
      <c r="K16">
        <f t="shared" si="2"/>
        <v>1.0787671232876712</v>
      </c>
      <c r="L16">
        <v>3.5000000000000003E-2</v>
      </c>
      <c r="M16">
        <v>0.03</v>
      </c>
      <c r="N16">
        <v>167.9761</v>
      </c>
      <c r="O16">
        <v>0.9284</v>
      </c>
      <c r="P16">
        <v>3.8699999999999998E-2</v>
      </c>
      <c r="Q16">
        <v>1059</v>
      </c>
      <c r="R16">
        <v>111</v>
      </c>
      <c r="S16">
        <v>144.4623</v>
      </c>
      <c r="T16">
        <v>2.92E-2</v>
      </c>
      <c r="U16">
        <v>1.1657</v>
      </c>
      <c r="V16">
        <v>0.8579</v>
      </c>
      <c r="W16">
        <v>0.95879999999999999</v>
      </c>
    </row>
    <row r="17" spans="1:23" x14ac:dyDescent="0.25">
      <c r="A17">
        <v>16</v>
      </c>
      <c r="B17">
        <v>2E-3</v>
      </c>
      <c r="C17">
        <v>0</v>
      </c>
      <c r="D17">
        <v>0.1741</v>
      </c>
      <c r="E17">
        <v>0.7843</v>
      </c>
      <c r="F17">
        <v>0.26069999999999999</v>
      </c>
      <c r="G17">
        <v>6.0699999999999997E-2</v>
      </c>
      <c r="H17">
        <f t="shared" si="0"/>
        <v>60.699999999999996</v>
      </c>
      <c r="I17">
        <v>3.8199999999999998E-2</v>
      </c>
      <c r="J17">
        <f t="shared" si="1"/>
        <v>38.199999999999996</v>
      </c>
      <c r="K17">
        <f t="shared" si="2"/>
        <v>1.5890052356020943</v>
      </c>
      <c r="L17">
        <v>6.3299999999999995E-2</v>
      </c>
      <c r="M17">
        <v>4.1099999999999998E-2</v>
      </c>
      <c r="N17">
        <v>177.45590000000001</v>
      </c>
      <c r="O17">
        <v>0.84619999999999995</v>
      </c>
      <c r="P17">
        <v>6.3299999999999995E-2</v>
      </c>
      <c r="Q17">
        <v>349</v>
      </c>
      <c r="R17">
        <v>128</v>
      </c>
      <c r="S17">
        <v>16.5044</v>
      </c>
      <c r="T17">
        <v>3.8199999999999998E-2</v>
      </c>
      <c r="U17">
        <v>1.5412999999999999</v>
      </c>
      <c r="V17">
        <v>0.64880000000000004</v>
      </c>
      <c r="W17">
        <v>0.95730000000000004</v>
      </c>
    </row>
    <row r="18" spans="1:23" x14ac:dyDescent="0.25">
      <c r="A18">
        <v>17</v>
      </c>
      <c r="B18">
        <v>2.3E-3</v>
      </c>
      <c r="C18">
        <v>0</v>
      </c>
      <c r="D18">
        <v>0.183</v>
      </c>
      <c r="E18">
        <v>1.5774999999999999</v>
      </c>
      <c r="F18">
        <v>0.28310000000000002</v>
      </c>
      <c r="G18">
        <v>5.1700000000000003E-2</v>
      </c>
      <c r="H18">
        <f t="shared" si="0"/>
        <v>51.7</v>
      </c>
      <c r="I18">
        <v>4.9399999999999999E-2</v>
      </c>
      <c r="J18">
        <f t="shared" si="1"/>
        <v>49.4</v>
      </c>
      <c r="K18">
        <f t="shared" si="2"/>
        <v>1.0465587044534415</v>
      </c>
      <c r="L18">
        <v>5.5399999999999998E-2</v>
      </c>
      <c r="M18">
        <v>5.1999999999999998E-2</v>
      </c>
      <c r="N18">
        <v>9.8552</v>
      </c>
      <c r="O18">
        <v>0.84850000000000003</v>
      </c>
      <c r="P18">
        <v>6.5600000000000006E-2</v>
      </c>
      <c r="Q18">
        <v>702</v>
      </c>
      <c r="R18">
        <v>146</v>
      </c>
      <c r="S18">
        <v>38.046999999999997</v>
      </c>
      <c r="T18">
        <v>4.9200000000000001E-2</v>
      </c>
      <c r="U18">
        <v>1.0672999999999999</v>
      </c>
      <c r="V18">
        <v>0.93689999999999996</v>
      </c>
      <c r="W18">
        <v>0.94320000000000004</v>
      </c>
    </row>
    <row r="19" spans="1:23" x14ac:dyDescent="0.25">
      <c r="A19">
        <v>18</v>
      </c>
      <c r="B19">
        <v>2.8E-3</v>
      </c>
      <c r="C19">
        <v>0</v>
      </c>
      <c r="D19">
        <v>0.19969999999999999</v>
      </c>
      <c r="E19">
        <v>1.9056</v>
      </c>
      <c r="F19">
        <v>0.28310000000000002</v>
      </c>
      <c r="G19">
        <v>6.0699999999999997E-2</v>
      </c>
      <c r="H19">
        <f t="shared" si="0"/>
        <v>60.699999999999996</v>
      </c>
      <c r="I19">
        <v>5.1700000000000003E-2</v>
      </c>
      <c r="J19">
        <f t="shared" si="1"/>
        <v>51.7</v>
      </c>
      <c r="K19">
        <f t="shared" si="2"/>
        <v>1.174081237911025</v>
      </c>
      <c r="L19">
        <v>6.4699999999999994E-2</v>
      </c>
      <c r="M19">
        <v>5.4899999999999997E-2</v>
      </c>
      <c r="N19">
        <v>174.102</v>
      </c>
      <c r="O19">
        <v>0.87990000000000002</v>
      </c>
      <c r="P19">
        <v>6.9800000000000001E-2</v>
      </c>
      <c r="Q19">
        <v>848</v>
      </c>
      <c r="R19">
        <v>146</v>
      </c>
      <c r="S19">
        <v>33.1785</v>
      </c>
      <c r="T19">
        <v>5.1700000000000003E-2</v>
      </c>
      <c r="U19">
        <v>1.1786000000000001</v>
      </c>
      <c r="V19">
        <v>0.84850000000000003</v>
      </c>
      <c r="W19">
        <v>0.95920000000000005</v>
      </c>
    </row>
    <row r="20" spans="1:23" x14ac:dyDescent="0.25">
      <c r="A20">
        <v>19</v>
      </c>
      <c r="B20">
        <v>1.6999999999999999E-3</v>
      </c>
      <c r="C20">
        <v>0</v>
      </c>
      <c r="D20">
        <v>0.1542</v>
      </c>
      <c r="E20">
        <v>0.8427</v>
      </c>
      <c r="F20">
        <v>0.30109999999999998</v>
      </c>
      <c r="G20">
        <v>3.8199999999999998E-2</v>
      </c>
      <c r="H20">
        <f t="shared" si="0"/>
        <v>38.199999999999996</v>
      </c>
      <c r="I20">
        <v>4.9399999999999999E-2</v>
      </c>
      <c r="J20">
        <f t="shared" si="1"/>
        <v>49.4</v>
      </c>
      <c r="K20">
        <f t="shared" si="2"/>
        <v>0.77327935222672062</v>
      </c>
      <c r="L20">
        <v>5.1999999999999998E-2</v>
      </c>
      <c r="M20">
        <v>4.1000000000000002E-2</v>
      </c>
      <c r="N20">
        <v>78.174999999999997</v>
      </c>
      <c r="O20">
        <v>0.88580000000000003</v>
      </c>
      <c r="P20">
        <v>5.62E-2</v>
      </c>
      <c r="Q20">
        <v>376</v>
      </c>
      <c r="R20">
        <v>154</v>
      </c>
      <c r="S20">
        <v>53.130099999999999</v>
      </c>
      <c r="T20">
        <v>3.8199999999999998E-2</v>
      </c>
      <c r="U20">
        <v>1.2678</v>
      </c>
      <c r="V20">
        <v>0.78869999999999996</v>
      </c>
      <c r="W20">
        <v>0.9637</v>
      </c>
    </row>
    <row r="21" spans="1:23" x14ac:dyDescent="0.25">
      <c r="A21">
        <v>20</v>
      </c>
      <c r="B21">
        <v>1.9E-3</v>
      </c>
      <c r="C21">
        <v>0</v>
      </c>
      <c r="D21">
        <v>0.1598</v>
      </c>
      <c r="E21">
        <v>1.1371</v>
      </c>
      <c r="F21">
        <v>0.3034</v>
      </c>
      <c r="G21">
        <v>4.4900000000000002E-2</v>
      </c>
      <c r="H21">
        <f t="shared" si="0"/>
        <v>44.900000000000006</v>
      </c>
      <c r="I21">
        <v>4.9399999999999999E-2</v>
      </c>
      <c r="J21">
        <f t="shared" si="1"/>
        <v>49.4</v>
      </c>
      <c r="K21">
        <f t="shared" si="2"/>
        <v>0.90890688259109331</v>
      </c>
      <c r="L21">
        <v>5.2299999999999999E-2</v>
      </c>
      <c r="M21">
        <v>4.5100000000000001E-2</v>
      </c>
      <c r="N21">
        <v>87.464299999999994</v>
      </c>
      <c r="O21">
        <v>0.91200000000000003</v>
      </c>
      <c r="P21">
        <v>5.4399999999999997E-2</v>
      </c>
      <c r="Q21">
        <v>508</v>
      </c>
      <c r="R21">
        <v>155</v>
      </c>
      <c r="S21">
        <v>51.709800000000001</v>
      </c>
      <c r="T21">
        <v>4.4499999999999998E-2</v>
      </c>
      <c r="U21">
        <v>1.1579999999999999</v>
      </c>
      <c r="V21">
        <v>0.86360000000000003</v>
      </c>
      <c r="W21">
        <v>0.94589999999999996</v>
      </c>
    </row>
    <row r="22" spans="1:23" x14ac:dyDescent="0.25">
      <c r="A22">
        <v>21</v>
      </c>
      <c r="B22">
        <v>1.6000000000000001E-3</v>
      </c>
      <c r="C22">
        <v>0</v>
      </c>
      <c r="D22">
        <v>0.15160000000000001</v>
      </c>
      <c r="E22">
        <v>2.2808999999999999</v>
      </c>
      <c r="F22">
        <v>0.34160000000000001</v>
      </c>
      <c r="G22">
        <v>4.7199999999999999E-2</v>
      </c>
      <c r="H22">
        <f t="shared" si="0"/>
        <v>47.199999999999996</v>
      </c>
      <c r="I22">
        <v>4.0399999999999998E-2</v>
      </c>
      <c r="J22">
        <f t="shared" si="1"/>
        <v>40.4</v>
      </c>
      <c r="K22">
        <f t="shared" si="2"/>
        <v>1.1683168316831682</v>
      </c>
      <c r="L22">
        <v>4.9200000000000001E-2</v>
      </c>
      <c r="M22">
        <v>4.2599999999999999E-2</v>
      </c>
      <c r="N22">
        <v>171.0385</v>
      </c>
      <c r="O22">
        <v>0.90029999999999999</v>
      </c>
      <c r="P22">
        <v>5.2999999999999999E-2</v>
      </c>
      <c r="Q22">
        <v>1016</v>
      </c>
      <c r="R22">
        <v>154</v>
      </c>
      <c r="S22">
        <v>143.6156</v>
      </c>
      <c r="T22">
        <v>4.0399999999999998E-2</v>
      </c>
      <c r="U22">
        <v>1.1539999999999999</v>
      </c>
      <c r="V22">
        <v>0.86660000000000004</v>
      </c>
      <c r="W22">
        <v>0.94910000000000005</v>
      </c>
    </row>
    <row r="23" spans="1:23" x14ac:dyDescent="0.25">
      <c r="A23">
        <v>22</v>
      </c>
      <c r="B23">
        <v>1.6999999999999999E-3</v>
      </c>
      <c r="C23">
        <v>0</v>
      </c>
      <c r="D23">
        <v>0.1542</v>
      </c>
      <c r="E23">
        <v>1.3212999999999999</v>
      </c>
      <c r="F23">
        <v>0.35730000000000001</v>
      </c>
      <c r="G23">
        <v>4.9399999999999999E-2</v>
      </c>
      <c r="H23">
        <f t="shared" si="0"/>
        <v>49.4</v>
      </c>
      <c r="I23">
        <v>3.8199999999999998E-2</v>
      </c>
      <c r="J23">
        <f t="shared" si="1"/>
        <v>38.199999999999996</v>
      </c>
      <c r="K23">
        <f t="shared" si="2"/>
        <v>1.293193717277487</v>
      </c>
      <c r="L23">
        <v>5.1400000000000001E-2</v>
      </c>
      <c r="M23">
        <v>4.1799999999999997E-2</v>
      </c>
      <c r="N23">
        <v>3.1457999999999999</v>
      </c>
      <c r="O23">
        <v>0.89119999999999999</v>
      </c>
      <c r="P23">
        <v>5.5500000000000001E-2</v>
      </c>
      <c r="Q23">
        <v>588</v>
      </c>
      <c r="R23">
        <v>174</v>
      </c>
      <c r="S23">
        <v>31.759499999999999</v>
      </c>
      <c r="T23">
        <v>3.8199999999999998E-2</v>
      </c>
      <c r="U23">
        <v>1.2303999999999999</v>
      </c>
      <c r="V23">
        <v>0.81279999999999997</v>
      </c>
      <c r="W23">
        <v>0.95840000000000003</v>
      </c>
    </row>
    <row r="24" spans="1:23" x14ac:dyDescent="0.25">
      <c r="A24">
        <v>23</v>
      </c>
      <c r="B24">
        <v>1.6000000000000001E-3</v>
      </c>
      <c r="C24">
        <v>0</v>
      </c>
      <c r="D24">
        <v>0.15340000000000001</v>
      </c>
      <c r="E24">
        <v>1.4494</v>
      </c>
      <c r="F24">
        <v>0.37530000000000002</v>
      </c>
      <c r="G24">
        <v>5.1700000000000003E-2</v>
      </c>
      <c r="H24">
        <f t="shared" si="0"/>
        <v>51.7</v>
      </c>
      <c r="I24">
        <v>3.5999999999999997E-2</v>
      </c>
      <c r="J24">
        <f t="shared" si="1"/>
        <v>36</v>
      </c>
      <c r="K24">
        <f t="shared" si="2"/>
        <v>1.4361111111111111</v>
      </c>
      <c r="L24">
        <v>5.3900000000000003E-2</v>
      </c>
      <c r="M24">
        <v>3.78E-2</v>
      </c>
      <c r="N24">
        <v>178.53720000000001</v>
      </c>
      <c r="O24">
        <v>0.85429999999999995</v>
      </c>
      <c r="P24">
        <v>5.4699999999999999E-2</v>
      </c>
      <c r="Q24">
        <v>645</v>
      </c>
      <c r="R24">
        <v>181</v>
      </c>
      <c r="S24">
        <v>19.178999999999998</v>
      </c>
      <c r="T24">
        <v>3.5999999999999997E-2</v>
      </c>
      <c r="U24">
        <v>1.427</v>
      </c>
      <c r="V24">
        <v>0.70079999999999998</v>
      </c>
      <c r="W24">
        <v>0.94630000000000003</v>
      </c>
    </row>
    <row r="25" spans="1:23" x14ac:dyDescent="0.25">
      <c r="A25">
        <v>24</v>
      </c>
      <c r="B25">
        <v>5.9999999999999995E-4</v>
      </c>
      <c r="C25">
        <v>0</v>
      </c>
      <c r="D25">
        <v>8.9399999999999993E-2</v>
      </c>
      <c r="E25">
        <v>3.2067000000000001</v>
      </c>
      <c r="F25">
        <v>0.37530000000000002</v>
      </c>
      <c r="G25">
        <v>2.7E-2</v>
      </c>
      <c r="H25">
        <f t="shared" si="0"/>
        <v>27</v>
      </c>
      <c r="I25">
        <v>2.7E-2</v>
      </c>
      <c r="J25">
        <f t="shared" si="1"/>
        <v>27</v>
      </c>
      <c r="K25">
        <f t="shared" si="2"/>
        <v>1</v>
      </c>
      <c r="L25">
        <v>2.8899999999999999E-2</v>
      </c>
      <c r="M25">
        <v>2.8000000000000001E-2</v>
      </c>
      <c r="N25">
        <v>56.379800000000003</v>
      </c>
      <c r="O25">
        <v>0.99960000000000004</v>
      </c>
      <c r="P25">
        <v>3.1899999999999998E-2</v>
      </c>
      <c r="Q25">
        <v>1427</v>
      </c>
      <c r="R25">
        <v>177</v>
      </c>
      <c r="S25">
        <v>39.289400000000001</v>
      </c>
      <c r="T25">
        <v>2.7E-2</v>
      </c>
      <c r="U25">
        <v>1.0306999999999999</v>
      </c>
      <c r="V25">
        <v>0.97019999999999995</v>
      </c>
      <c r="W25">
        <v>0.95450000000000002</v>
      </c>
    </row>
    <row r="26" spans="1:23" x14ac:dyDescent="0.25">
      <c r="A26">
        <v>25</v>
      </c>
      <c r="B26">
        <v>2.3E-3</v>
      </c>
      <c r="C26">
        <v>0</v>
      </c>
      <c r="D26">
        <v>0.1804</v>
      </c>
      <c r="E26">
        <v>2.3843000000000001</v>
      </c>
      <c r="F26">
        <v>0.39329999999999998</v>
      </c>
      <c r="G26">
        <v>4.7199999999999999E-2</v>
      </c>
      <c r="H26">
        <f t="shared" si="0"/>
        <v>47.199999999999996</v>
      </c>
      <c r="I26">
        <v>5.62E-2</v>
      </c>
      <c r="J26">
        <f t="shared" si="1"/>
        <v>56.2</v>
      </c>
      <c r="K26">
        <f t="shared" si="2"/>
        <v>0.83985765124555145</v>
      </c>
      <c r="L26">
        <v>5.9400000000000001E-2</v>
      </c>
      <c r="M26">
        <v>4.9399999999999999E-2</v>
      </c>
      <c r="N26">
        <v>75.138099999999994</v>
      </c>
      <c r="O26">
        <v>0.89100000000000001</v>
      </c>
      <c r="P26">
        <v>6.4299999999999996E-2</v>
      </c>
      <c r="Q26">
        <v>1063</v>
      </c>
      <c r="R26">
        <v>199</v>
      </c>
      <c r="S26">
        <v>53.530799999999999</v>
      </c>
      <c r="T26">
        <v>4.7199999999999999E-2</v>
      </c>
      <c r="U26">
        <v>1.2023999999999999</v>
      </c>
      <c r="V26">
        <v>0.83169999999999999</v>
      </c>
      <c r="W26">
        <v>0.95509999999999995</v>
      </c>
    </row>
    <row r="27" spans="1:23" x14ac:dyDescent="0.25">
      <c r="A27">
        <v>26</v>
      </c>
      <c r="B27">
        <v>2.8E-3</v>
      </c>
      <c r="C27">
        <v>0</v>
      </c>
      <c r="D27">
        <v>0.20469999999999999</v>
      </c>
      <c r="E27">
        <v>3.2269999999999999</v>
      </c>
      <c r="F27">
        <v>0.41349999999999998</v>
      </c>
      <c r="G27">
        <v>6.7400000000000002E-2</v>
      </c>
      <c r="H27">
        <f t="shared" si="0"/>
        <v>67.400000000000006</v>
      </c>
      <c r="I27">
        <v>4.9399999999999999E-2</v>
      </c>
      <c r="J27">
        <f t="shared" si="1"/>
        <v>49.4</v>
      </c>
      <c r="K27">
        <f t="shared" si="2"/>
        <v>1.3643724696356276</v>
      </c>
      <c r="L27">
        <v>6.9500000000000006E-2</v>
      </c>
      <c r="M27">
        <v>5.1700000000000003E-2</v>
      </c>
      <c r="N27">
        <v>176.57640000000001</v>
      </c>
      <c r="O27">
        <v>0.84619999999999995</v>
      </c>
      <c r="P27">
        <v>7.3499999999999996E-2</v>
      </c>
      <c r="Q27">
        <v>1436</v>
      </c>
      <c r="R27">
        <v>202</v>
      </c>
      <c r="S27">
        <v>23.428699999999999</v>
      </c>
      <c r="T27">
        <v>4.9299999999999997E-2</v>
      </c>
      <c r="U27">
        <v>1.3456999999999999</v>
      </c>
      <c r="V27">
        <v>0.74309999999999998</v>
      </c>
      <c r="W27">
        <v>0.94989999999999997</v>
      </c>
    </row>
    <row r="28" spans="1:23" x14ac:dyDescent="0.25">
      <c r="A28">
        <v>27</v>
      </c>
      <c r="B28">
        <v>3.5999999999999999E-3</v>
      </c>
      <c r="C28">
        <v>0</v>
      </c>
      <c r="D28">
        <v>0.2349</v>
      </c>
      <c r="E28">
        <v>0.1326</v>
      </c>
      <c r="F28">
        <v>0.41799999999999998</v>
      </c>
      <c r="G28">
        <v>8.09E-2</v>
      </c>
      <c r="H28">
        <f t="shared" si="0"/>
        <v>80.900000000000006</v>
      </c>
      <c r="I28">
        <v>5.1700000000000003E-2</v>
      </c>
      <c r="J28">
        <f t="shared" si="1"/>
        <v>51.7</v>
      </c>
      <c r="K28">
        <f t="shared" si="2"/>
        <v>1.5647969052224371</v>
      </c>
      <c r="L28">
        <v>8.7099999999999997E-2</v>
      </c>
      <c r="M28">
        <v>5.28E-2</v>
      </c>
      <c r="N28">
        <v>176.06819999999999</v>
      </c>
      <c r="O28">
        <v>0.82240000000000002</v>
      </c>
      <c r="P28">
        <v>8.5300000000000001E-2</v>
      </c>
      <c r="Q28">
        <v>59</v>
      </c>
      <c r="R28">
        <v>202</v>
      </c>
      <c r="S28">
        <v>18.434899999999999</v>
      </c>
      <c r="T28">
        <v>5.0500000000000003E-2</v>
      </c>
      <c r="U28">
        <v>1.6516999999999999</v>
      </c>
      <c r="V28">
        <v>0.60550000000000004</v>
      </c>
      <c r="W28">
        <v>0.95840000000000003</v>
      </c>
    </row>
    <row r="29" spans="1:23" x14ac:dyDescent="0.25">
      <c r="A29">
        <v>28</v>
      </c>
      <c r="B29">
        <v>1.8E-3</v>
      </c>
      <c r="C29">
        <v>0</v>
      </c>
      <c r="D29">
        <v>0.15740000000000001</v>
      </c>
      <c r="E29">
        <v>1.2067000000000001</v>
      </c>
      <c r="F29">
        <v>0.42920000000000003</v>
      </c>
      <c r="G29">
        <v>4.4900000000000002E-2</v>
      </c>
      <c r="H29">
        <f t="shared" si="0"/>
        <v>44.900000000000006</v>
      </c>
      <c r="I29">
        <v>4.4900000000000002E-2</v>
      </c>
      <c r="J29">
        <f t="shared" si="1"/>
        <v>44.900000000000006</v>
      </c>
      <c r="K29">
        <f t="shared" si="2"/>
        <v>1</v>
      </c>
      <c r="L29">
        <v>4.9399999999999999E-2</v>
      </c>
      <c r="M29">
        <v>4.6199999999999998E-2</v>
      </c>
      <c r="N29">
        <v>144.11519999999999</v>
      </c>
      <c r="O29">
        <v>0.9093</v>
      </c>
      <c r="P29">
        <v>5.5599999999999997E-2</v>
      </c>
      <c r="Q29">
        <v>538</v>
      </c>
      <c r="R29">
        <v>192</v>
      </c>
      <c r="S29">
        <v>133.36340000000001</v>
      </c>
      <c r="T29">
        <v>4.4900000000000002E-2</v>
      </c>
      <c r="U29">
        <v>1.0711999999999999</v>
      </c>
      <c r="V29">
        <v>0.9335</v>
      </c>
      <c r="W29">
        <v>0.95950000000000002</v>
      </c>
    </row>
    <row r="30" spans="1:23" x14ac:dyDescent="0.25">
      <c r="A30">
        <v>29</v>
      </c>
      <c r="B30">
        <v>1.4E-3</v>
      </c>
      <c r="C30">
        <v>0</v>
      </c>
      <c r="D30">
        <v>0.1368</v>
      </c>
      <c r="E30">
        <v>1.5954999999999999</v>
      </c>
      <c r="F30">
        <v>0.44269999999999998</v>
      </c>
      <c r="G30">
        <v>3.8199999999999998E-2</v>
      </c>
      <c r="H30">
        <f t="shared" si="0"/>
        <v>38.199999999999996</v>
      </c>
      <c r="I30">
        <v>4.2700000000000002E-2</v>
      </c>
      <c r="J30">
        <f t="shared" si="1"/>
        <v>42.7</v>
      </c>
      <c r="K30">
        <f t="shared" si="2"/>
        <v>0.89461358313817319</v>
      </c>
      <c r="L30">
        <v>4.4999999999999998E-2</v>
      </c>
      <c r="M30">
        <v>3.9699999999999999E-2</v>
      </c>
      <c r="N30">
        <v>81.634799999999998</v>
      </c>
      <c r="O30">
        <v>0.94289999999999996</v>
      </c>
      <c r="P30">
        <v>4.6800000000000001E-2</v>
      </c>
      <c r="Q30">
        <v>712</v>
      </c>
      <c r="R30">
        <v>198</v>
      </c>
      <c r="S30">
        <v>125.2176</v>
      </c>
      <c r="T30">
        <v>3.8199999999999998E-2</v>
      </c>
      <c r="U30">
        <v>1.1335</v>
      </c>
      <c r="V30">
        <v>0.88229999999999997</v>
      </c>
      <c r="W30">
        <v>0.95369999999999999</v>
      </c>
    </row>
    <row r="31" spans="1:23" x14ac:dyDescent="0.25">
      <c r="A31">
        <v>30</v>
      </c>
      <c r="B31">
        <v>2.3999999999999998E-3</v>
      </c>
      <c r="C31">
        <v>0</v>
      </c>
      <c r="D31">
        <v>0.18229999999999999</v>
      </c>
      <c r="E31">
        <v>2.1461000000000001</v>
      </c>
      <c r="F31">
        <v>0.48309999999999997</v>
      </c>
      <c r="G31">
        <v>5.3900000000000003E-2</v>
      </c>
      <c r="H31">
        <f t="shared" si="0"/>
        <v>53.900000000000006</v>
      </c>
      <c r="I31">
        <v>5.1700000000000003E-2</v>
      </c>
      <c r="J31">
        <f t="shared" si="1"/>
        <v>51.7</v>
      </c>
      <c r="K31">
        <f t="shared" si="2"/>
        <v>1.0425531914893618</v>
      </c>
      <c r="L31">
        <v>5.8200000000000002E-2</v>
      </c>
      <c r="M31">
        <v>5.3499999999999999E-2</v>
      </c>
      <c r="N31">
        <v>14.926399999999999</v>
      </c>
      <c r="O31">
        <v>0.9244</v>
      </c>
      <c r="P31">
        <v>6.4299999999999996E-2</v>
      </c>
      <c r="Q31">
        <v>956</v>
      </c>
      <c r="R31">
        <v>235</v>
      </c>
      <c r="S31">
        <v>36.469200000000001</v>
      </c>
      <c r="T31">
        <v>5.1700000000000003E-2</v>
      </c>
      <c r="U31">
        <v>1.0884</v>
      </c>
      <c r="V31">
        <v>0.91879999999999995</v>
      </c>
      <c r="W31">
        <v>0.96319999999999995</v>
      </c>
    </row>
    <row r="32" spans="1:23" x14ac:dyDescent="0.25">
      <c r="A32">
        <v>31</v>
      </c>
      <c r="B32">
        <v>6.9999999999999999E-4</v>
      </c>
      <c r="C32">
        <v>0</v>
      </c>
      <c r="D32">
        <v>0.11749999999999999</v>
      </c>
      <c r="E32">
        <v>0.61570000000000003</v>
      </c>
      <c r="F32">
        <v>0.50109999999999999</v>
      </c>
      <c r="G32">
        <v>2.47E-2</v>
      </c>
      <c r="H32">
        <f t="shared" si="0"/>
        <v>24.7</v>
      </c>
      <c r="I32">
        <v>4.0399999999999998E-2</v>
      </c>
      <c r="J32">
        <f t="shared" si="1"/>
        <v>40.4</v>
      </c>
      <c r="K32">
        <f t="shared" si="2"/>
        <v>0.61138613861386137</v>
      </c>
      <c r="L32">
        <v>4.1599999999999998E-2</v>
      </c>
      <c r="M32">
        <v>2.12E-2</v>
      </c>
      <c r="N32">
        <v>84.807400000000001</v>
      </c>
      <c r="O32">
        <v>0.62980000000000003</v>
      </c>
      <c r="P32">
        <v>4.2000000000000003E-2</v>
      </c>
      <c r="Q32">
        <v>278</v>
      </c>
      <c r="R32">
        <v>223</v>
      </c>
      <c r="S32">
        <v>105.5241</v>
      </c>
      <c r="T32">
        <v>2.47E-2</v>
      </c>
      <c r="U32">
        <v>1.9681</v>
      </c>
      <c r="V32">
        <v>0.5081</v>
      </c>
      <c r="W32">
        <v>0.80349999999999999</v>
      </c>
    </row>
    <row r="33" spans="1:23" x14ac:dyDescent="0.25">
      <c r="A33">
        <v>32</v>
      </c>
      <c r="B33">
        <v>1.8E-3</v>
      </c>
      <c r="C33">
        <v>0</v>
      </c>
      <c r="D33">
        <v>0.1696</v>
      </c>
      <c r="E33">
        <v>0.88759999999999994</v>
      </c>
      <c r="F33">
        <v>0.50790000000000002</v>
      </c>
      <c r="G33">
        <v>6.0699999999999997E-2</v>
      </c>
      <c r="H33">
        <f t="shared" si="0"/>
        <v>60.699999999999996</v>
      </c>
      <c r="I33">
        <v>3.5999999999999997E-2</v>
      </c>
      <c r="J33">
        <f t="shared" si="1"/>
        <v>36</v>
      </c>
      <c r="K33">
        <f t="shared" si="2"/>
        <v>1.6861111111111109</v>
      </c>
      <c r="L33">
        <v>6.4500000000000002E-2</v>
      </c>
      <c r="M33">
        <v>3.6400000000000002E-2</v>
      </c>
      <c r="N33">
        <v>176.48400000000001</v>
      </c>
      <c r="O33">
        <v>0.80559999999999998</v>
      </c>
      <c r="P33">
        <v>6.2700000000000006E-2</v>
      </c>
      <c r="Q33">
        <v>395</v>
      </c>
      <c r="R33">
        <v>237</v>
      </c>
      <c r="S33">
        <v>14.5345</v>
      </c>
      <c r="T33">
        <v>3.5200000000000002E-2</v>
      </c>
      <c r="U33">
        <v>1.7721</v>
      </c>
      <c r="V33">
        <v>0.56430000000000002</v>
      </c>
      <c r="W33">
        <v>0.93830000000000002</v>
      </c>
    </row>
    <row r="34" spans="1:23" x14ac:dyDescent="0.25">
      <c r="A34">
        <v>33</v>
      </c>
      <c r="B34">
        <v>1.1000000000000001E-3</v>
      </c>
      <c r="C34">
        <v>0</v>
      </c>
      <c r="D34">
        <v>0.1246</v>
      </c>
      <c r="E34">
        <v>1.6899</v>
      </c>
      <c r="F34">
        <v>0.53259999999999996</v>
      </c>
      <c r="G34">
        <v>3.8199999999999998E-2</v>
      </c>
      <c r="H34">
        <f t="shared" si="0"/>
        <v>38.199999999999996</v>
      </c>
      <c r="I34">
        <v>3.5999999999999997E-2</v>
      </c>
      <c r="J34">
        <f t="shared" si="1"/>
        <v>36</v>
      </c>
      <c r="K34">
        <f t="shared" si="2"/>
        <v>1.0611111111111109</v>
      </c>
      <c r="L34">
        <v>4.07E-2</v>
      </c>
      <c r="M34">
        <v>3.56E-2</v>
      </c>
      <c r="N34">
        <v>40.637999999999998</v>
      </c>
      <c r="O34">
        <v>0.9194</v>
      </c>
      <c r="P34">
        <v>4.5499999999999999E-2</v>
      </c>
      <c r="Q34">
        <v>752</v>
      </c>
      <c r="R34">
        <v>250</v>
      </c>
      <c r="S34">
        <v>32.905200000000001</v>
      </c>
      <c r="T34">
        <v>3.5999999999999997E-2</v>
      </c>
      <c r="U34">
        <v>1.1423000000000001</v>
      </c>
      <c r="V34">
        <v>0.87539999999999996</v>
      </c>
      <c r="W34">
        <v>0.9395</v>
      </c>
    </row>
    <row r="35" spans="1:23" x14ac:dyDescent="0.25">
      <c r="A35">
        <v>34</v>
      </c>
      <c r="B35">
        <v>3.5000000000000001E-3</v>
      </c>
      <c r="C35">
        <v>0</v>
      </c>
      <c r="D35">
        <v>0.2278</v>
      </c>
      <c r="E35">
        <v>0.35060000000000002</v>
      </c>
      <c r="F35">
        <v>0.54610000000000003</v>
      </c>
      <c r="G35">
        <v>7.8700000000000006E-2</v>
      </c>
      <c r="H35">
        <f t="shared" si="0"/>
        <v>78.7</v>
      </c>
      <c r="I35">
        <v>5.1700000000000003E-2</v>
      </c>
      <c r="J35">
        <f t="shared" si="1"/>
        <v>51.7</v>
      </c>
      <c r="K35">
        <f t="shared" si="2"/>
        <v>1.5222437137330753</v>
      </c>
      <c r="L35">
        <v>8.4400000000000003E-2</v>
      </c>
      <c r="M35">
        <v>5.3199999999999997E-2</v>
      </c>
      <c r="N35">
        <v>176.04740000000001</v>
      </c>
      <c r="O35">
        <v>0.85509999999999997</v>
      </c>
      <c r="P35">
        <v>8.2400000000000001E-2</v>
      </c>
      <c r="Q35">
        <v>156</v>
      </c>
      <c r="R35">
        <v>259</v>
      </c>
      <c r="S35">
        <v>17.447199999999999</v>
      </c>
      <c r="T35">
        <v>5.1700000000000003E-2</v>
      </c>
      <c r="U35">
        <v>1.5851</v>
      </c>
      <c r="V35">
        <v>0.63090000000000002</v>
      </c>
      <c r="W35">
        <v>0.96409999999999996</v>
      </c>
    </row>
    <row r="36" spans="1:23" x14ac:dyDescent="0.25">
      <c r="A36">
        <v>35</v>
      </c>
      <c r="B36">
        <v>1.1999999999999999E-3</v>
      </c>
      <c r="C36">
        <v>0</v>
      </c>
      <c r="D36">
        <v>0.12989999999999999</v>
      </c>
      <c r="E36">
        <v>1.9843</v>
      </c>
      <c r="F36">
        <v>0.56179999999999997</v>
      </c>
      <c r="G36">
        <v>3.8199999999999998E-2</v>
      </c>
      <c r="H36">
        <f t="shared" si="0"/>
        <v>38.199999999999996</v>
      </c>
      <c r="I36">
        <v>3.5999999999999997E-2</v>
      </c>
      <c r="J36">
        <f t="shared" si="1"/>
        <v>36</v>
      </c>
      <c r="K36">
        <f t="shared" si="2"/>
        <v>1.0611111111111109</v>
      </c>
      <c r="L36">
        <v>3.9800000000000002E-2</v>
      </c>
      <c r="M36">
        <v>3.7199999999999997E-2</v>
      </c>
      <c r="N36">
        <v>165.1566</v>
      </c>
      <c r="O36">
        <v>0.86519999999999997</v>
      </c>
      <c r="P36">
        <v>4.6100000000000002E-2</v>
      </c>
      <c r="Q36">
        <v>884</v>
      </c>
      <c r="R36">
        <v>250</v>
      </c>
      <c r="S36">
        <v>133.02510000000001</v>
      </c>
      <c r="T36">
        <v>3.5799999999999998E-2</v>
      </c>
      <c r="U36">
        <v>1.0704</v>
      </c>
      <c r="V36">
        <v>0.93430000000000002</v>
      </c>
      <c r="W36">
        <v>0.92930000000000001</v>
      </c>
    </row>
    <row r="37" spans="1:23" x14ac:dyDescent="0.25">
      <c r="A37">
        <v>36</v>
      </c>
      <c r="B37">
        <v>1.2999999999999999E-3</v>
      </c>
      <c r="C37">
        <v>0</v>
      </c>
      <c r="D37">
        <v>0.1376</v>
      </c>
      <c r="E37">
        <v>0.25619999999999998</v>
      </c>
      <c r="F37">
        <v>0.56630000000000003</v>
      </c>
      <c r="G37">
        <v>3.3700000000000001E-2</v>
      </c>
      <c r="H37">
        <f t="shared" si="0"/>
        <v>33.700000000000003</v>
      </c>
      <c r="I37">
        <v>4.4900000000000002E-2</v>
      </c>
      <c r="J37">
        <f t="shared" si="1"/>
        <v>44.900000000000006</v>
      </c>
      <c r="K37">
        <f t="shared" si="2"/>
        <v>0.75055679287305122</v>
      </c>
      <c r="L37">
        <v>4.7500000000000001E-2</v>
      </c>
      <c r="M37">
        <v>3.5200000000000002E-2</v>
      </c>
      <c r="N37">
        <v>85.173699999999997</v>
      </c>
      <c r="O37">
        <v>0.872</v>
      </c>
      <c r="P37">
        <v>4.8599999999999997E-2</v>
      </c>
      <c r="Q37">
        <v>115</v>
      </c>
      <c r="R37">
        <v>270</v>
      </c>
      <c r="S37">
        <v>56.309899999999999</v>
      </c>
      <c r="T37">
        <v>3.3700000000000001E-2</v>
      </c>
      <c r="U37">
        <v>1.3515999999999999</v>
      </c>
      <c r="V37">
        <v>0.7399</v>
      </c>
      <c r="W37">
        <v>0.94889999999999997</v>
      </c>
    </row>
    <row r="38" spans="1:23" x14ac:dyDescent="0.25">
      <c r="A38">
        <v>37</v>
      </c>
      <c r="B38">
        <v>1.1999999999999999E-3</v>
      </c>
      <c r="C38">
        <v>0</v>
      </c>
      <c r="D38">
        <v>0.12540000000000001</v>
      </c>
      <c r="E38">
        <v>3.2471999999999999</v>
      </c>
      <c r="F38">
        <v>0.58199999999999996</v>
      </c>
      <c r="G38">
        <v>3.8199999999999998E-2</v>
      </c>
      <c r="H38">
        <f t="shared" si="0"/>
        <v>38.199999999999996</v>
      </c>
      <c r="I38">
        <v>3.3700000000000001E-2</v>
      </c>
      <c r="J38">
        <f t="shared" si="1"/>
        <v>33.700000000000003</v>
      </c>
      <c r="K38">
        <f t="shared" si="2"/>
        <v>1.1335311572700295</v>
      </c>
      <c r="L38">
        <v>4.1500000000000002E-2</v>
      </c>
      <c r="M38">
        <v>3.56E-2</v>
      </c>
      <c r="N38">
        <v>10.603400000000001</v>
      </c>
      <c r="O38">
        <v>0.92830000000000001</v>
      </c>
      <c r="P38">
        <v>4.6800000000000001E-2</v>
      </c>
      <c r="Q38">
        <v>1445</v>
      </c>
      <c r="R38">
        <v>272</v>
      </c>
      <c r="S38">
        <v>35.217599999999997</v>
      </c>
      <c r="T38">
        <v>3.3700000000000001E-2</v>
      </c>
      <c r="U38">
        <v>1.1644000000000001</v>
      </c>
      <c r="V38">
        <v>0.85880000000000001</v>
      </c>
      <c r="W38">
        <v>0.96440000000000003</v>
      </c>
    </row>
    <row r="39" spans="1:23" x14ac:dyDescent="0.25">
      <c r="A39">
        <v>38</v>
      </c>
      <c r="B39">
        <v>8.0000000000000004E-4</v>
      </c>
      <c r="C39">
        <v>0</v>
      </c>
      <c r="D39">
        <v>0.1061</v>
      </c>
      <c r="E39">
        <v>2.573</v>
      </c>
      <c r="F39">
        <v>0.59099999999999997</v>
      </c>
      <c r="G39">
        <v>2.92E-2</v>
      </c>
      <c r="H39">
        <f t="shared" si="0"/>
        <v>29.2</v>
      </c>
      <c r="I39">
        <v>3.3700000000000001E-2</v>
      </c>
      <c r="J39">
        <f t="shared" si="1"/>
        <v>33.700000000000003</v>
      </c>
      <c r="K39">
        <f t="shared" si="2"/>
        <v>0.86646884272997027</v>
      </c>
      <c r="L39">
        <v>3.5299999999999998E-2</v>
      </c>
      <c r="M39">
        <v>2.93E-2</v>
      </c>
      <c r="N39">
        <v>109.5963</v>
      </c>
      <c r="O39">
        <v>0.90759999999999996</v>
      </c>
      <c r="P39">
        <v>3.8199999999999998E-2</v>
      </c>
      <c r="Q39">
        <v>1148</v>
      </c>
      <c r="R39">
        <v>263</v>
      </c>
      <c r="S39">
        <v>118.07250000000001</v>
      </c>
      <c r="T39">
        <v>2.92E-2</v>
      </c>
      <c r="U39">
        <v>1.2069000000000001</v>
      </c>
      <c r="V39">
        <v>0.8286</v>
      </c>
      <c r="W39">
        <v>0.93879999999999997</v>
      </c>
    </row>
    <row r="40" spans="1:23" x14ac:dyDescent="0.25">
      <c r="A40">
        <v>39</v>
      </c>
      <c r="B40">
        <v>3.0999999999999999E-3</v>
      </c>
      <c r="C40">
        <v>0</v>
      </c>
      <c r="D40">
        <v>0.21190000000000001</v>
      </c>
      <c r="E40">
        <v>1.3865000000000001</v>
      </c>
      <c r="F40">
        <v>0.60899999999999999</v>
      </c>
      <c r="G40">
        <v>6.5199999999999994E-2</v>
      </c>
      <c r="H40">
        <f t="shared" si="0"/>
        <v>65.199999999999989</v>
      </c>
      <c r="I40">
        <v>5.3900000000000003E-2</v>
      </c>
      <c r="J40">
        <f t="shared" si="1"/>
        <v>53.900000000000006</v>
      </c>
      <c r="K40">
        <f t="shared" si="2"/>
        <v>1.2096474953617808</v>
      </c>
      <c r="L40">
        <v>6.88E-2</v>
      </c>
      <c r="M40">
        <v>5.7200000000000001E-2</v>
      </c>
      <c r="N40">
        <v>175.6062</v>
      </c>
      <c r="O40">
        <v>0.86509999999999998</v>
      </c>
      <c r="P40">
        <v>7.3400000000000007E-2</v>
      </c>
      <c r="Q40">
        <v>618</v>
      </c>
      <c r="R40">
        <v>274</v>
      </c>
      <c r="S40">
        <v>139.96969999999999</v>
      </c>
      <c r="T40">
        <v>5.3900000000000003E-2</v>
      </c>
      <c r="U40">
        <v>1.2018</v>
      </c>
      <c r="V40">
        <v>0.83209999999999995</v>
      </c>
      <c r="W40">
        <v>0.95920000000000005</v>
      </c>
    </row>
    <row r="41" spans="1:23" x14ac:dyDescent="0.25">
      <c r="A41">
        <v>40</v>
      </c>
      <c r="B41">
        <v>4.0000000000000001E-3</v>
      </c>
      <c r="C41">
        <v>0</v>
      </c>
      <c r="D41">
        <v>0.23780000000000001</v>
      </c>
      <c r="E41">
        <v>1.2292000000000001</v>
      </c>
      <c r="F41">
        <v>0.61570000000000003</v>
      </c>
      <c r="G41">
        <v>7.6399999999999996E-2</v>
      </c>
      <c r="H41">
        <f t="shared" si="0"/>
        <v>76.399999999999991</v>
      </c>
      <c r="I41">
        <v>6.0699999999999997E-2</v>
      </c>
      <c r="J41">
        <f t="shared" si="1"/>
        <v>60.699999999999996</v>
      </c>
      <c r="K41">
        <f t="shared" si="2"/>
        <v>1.2586490939044481</v>
      </c>
      <c r="L41">
        <v>7.8899999999999998E-2</v>
      </c>
      <c r="M41">
        <v>6.3799999999999996E-2</v>
      </c>
      <c r="N41">
        <v>179.279</v>
      </c>
      <c r="O41">
        <v>0.87829999999999997</v>
      </c>
      <c r="P41">
        <v>8.1799999999999998E-2</v>
      </c>
      <c r="Q41">
        <v>547</v>
      </c>
      <c r="R41">
        <v>295</v>
      </c>
      <c r="S41">
        <v>20.924499999999998</v>
      </c>
      <c r="T41">
        <v>6.0699999999999997E-2</v>
      </c>
      <c r="U41">
        <v>1.2373000000000001</v>
      </c>
      <c r="V41">
        <v>0.80820000000000003</v>
      </c>
      <c r="W41">
        <v>0.95840000000000003</v>
      </c>
    </row>
    <row r="42" spans="1:23" ht="14.25" customHeight="1" x14ac:dyDescent="0.25">
      <c r="A42">
        <v>41</v>
      </c>
      <c r="B42">
        <v>1.6000000000000001E-3</v>
      </c>
      <c r="C42">
        <v>0</v>
      </c>
      <c r="D42">
        <v>0.15029999999999999</v>
      </c>
      <c r="E42">
        <v>1.6809000000000001</v>
      </c>
      <c r="F42">
        <v>0.61570000000000003</v>
      </c>
      <c r="G42">
        <v>4.4900000000000002E-2</v>
      </c>
      <c r="H42">
        <f t="shared" si="0"/>
        <v>44.900000000000006</v>
      </c>
      <c r="I42">
        <v>4.2700000000000002E-2</v>
      </c>
      <c r="J42">
        <f t="shared" si="1"/>
        <v>42.7</v>
      </c>
      <c r="K42">
        <f t="shared" si="2"/>
        <v>1.0515222482435598</v>
      </c>
      <c r="L42">
        <v>4.8800000000000003E-2</v>
      </c>
      <c r="M42">
        <v>4.07E-2</v>
      </c>
      <c r="N42">
        <v>166.16749999999999</v>
      </c>
      <c r="O42">
        <v>0.86839999999999995</v>
      </c>
      <c r="P42">
        <v>5.3600000000000002E-2</v>
      </c>
      <c r="Q42">
        <v>748</v>
      </c>
      <c r="R42">
        <v>277</v>
      </c>
      <c r="S42">
        <v>146.9761</v>
      </c>
      <c r="T42">
        <v>4.2700000000000002E-2</v>
      </c>
      <c r="U42">
        <v>1.1984999999999999</v>
      </c>
      <c r="V42">
        <v>0.83440000000000003</v>
      </c>
      <c r="W42">
        <v>0.94640000000000002</v>
      </c>
    </row>
    <row r="43" spans="1:23" x14ac:dyDescent="0.25">
      <c r="A43">
        <v>43</v>
      </c>
      <c r="B43">
        <v>2.3999999999999998E-3</v>
      </c>
      <c r="C43">
        <v>0</v>
      </c>
      <c r="D43">
        <v>0.1855</v>
      </c>
      <c r="E43">
        <v>1.7371000000000001</v>
      </c>
      <c r="F43">
        <v>0.61799999999999999</v>
      </c>
      <c r="G43">
        <v>5.3900000000000003E-2</v>
      </c>
      <c r="H43">
        <f t="shared" si="0"/>
        <v>53.900000000000006</v>
      </c>
      <c r="I43">
        <v>5.3900000000000003E-2</v>
      </c>
      <c r="J43">
        <f t="shared" si="1"/>
        <v>53.900000000000006</v>
      </c>
      <c r="K43">
        <f t="shared" si="2"/>
        <v>1</v>
      </c>
      <c r="L43">
        <v>5.6399999999999999E-2</v>
      </c>
      <c r="M43">
        <v>5.5199999999999999E-2</v>
      </c>
      <c r="N43">
        <v>48.154499999999999</v>
      </c>
      <c r="O43">
        <v>0.89300000000000002</v>
      </c>
      <c r="P43">
        <v>6.3E-2</v>
      </c>
      <c r="Q43">
        <v>773</v>
      </c>
      <c r="R43">
        <v>295</v>
      </c>
      <c r="S43">
        <v>34.8245</v>
      </c>
      <c r="T43">
        <v>5.3100000000000001E-2</v>
      </c>
      <c r="U43">
        <v>1.0212000000000001</v>
      </c>
      <c r="V43">
        <v>0.97919999999999996</v>
      </c>
      <c r="W43">
        <v>0.94620000000000004</v>
      </c>
    </row>
    <row r="44" spans="1:23" x14ac:dyDescent="0.25">
      <c r="A44">
        <v>44</v>
      </c>
      <c r="B44">
        <v>3.3999999999999998E-3</v>
      </c>
      <c r="C44">
        <v>0</v>
      </c>
      <c r="D44">
        <v>0.22009999999999999</v>
      </c>
      <c r="E44">
        <v>3.0943999999999998</v>
      </c>
      <c r="F44">
        <v>0.63370000000000004</v>
      </c>
      <c r="G44">
        <v>6.9699999999999998E-2</v>
      </c>
      <c r="H44">
        <f t="shared" si="0"/>
        <v>69.7</v>
      </c>
      <c r="I44">
        <v>5.62E-2</v>
      </c>
      <c r="J44">
        <f t="shared" si="1"/>
        <v>56.2</v>
      </c>
      <c r="K44">
        <f t="shared" si="2"/>
        <v>1.2402135231316727</v>
      </c>
      <c r="L44">
        <v>7.3599999999999999E-2</v>
      </c>
      <c r="M44">
        <v>5.8400000000000001E-2</v>
      </c>
      <c r="N44">
        <v>171.96459999999999</v>
      </c>
      <c r="O44">
        <v>0.87639999999999996</v>
      </c>
      <c r="P44">
        <v>7.7299999999999994E-2</v>
      </c>
      <c r="Q44">
        <v>1378</v>
      </c>
      <c r="R44">
        <v>285</v>
      </c>
      <c r="S44">
        <v>144.4623</v>
      </c>
      <c r="T44">
        <v>5.5899999999999998E-2</v>
      </c>
      <c r="U44">
        <v>1.2606999999999999</v>
      </c>
      <c r="V44">
        <v>0.79320000000000002</v>
      </c>
      <c r="W44">
        <v>0.95709999999999995</v>
      </c>
    </row>
    <row r="45" spans="1:23" x14ac:dyDescent="0.25">
      <c r="A45">
        <v>46</v>
      </c>
      <c r="B45">
        <v>3.3E-3</v>
      </c>
      <c r="C45">
        <v>0</v>
      </c>
      <c r="D45">
        <v>0.21820000000000001</v>
      </c>
      <c r="E45">
        <v>0.15959999999999999</v>
      </c>
      <c r="F45">
        <v>0.66069999999999995</v>
      </c>
      <c r="G45">
        <v>5.8400000000000001E-2</v>
      </c>
      <c r="H45">
        <f t="shared" si="0"/>
        <v>58.4</v>
      </c>
      <c r="I45">
        <v>6.5199999999999994E-2</v>
      </c>
      <c r="J45">
        <f t="shared" si="1"/>
        <v>65.199999999999989</v>
      </c>
      <c r="K45">
        <f t="shared" si="2"/>
        <v>0.8957055214723928</v>
      </c>
      <c r="L45">
        <v>6.8900000000000003E-2</v>
      </c>
      <c r="M45">
        <v>6.13E-2</v>
      </c>
      <c r="N45">
        <v>86.294799999999995</v>
      </c>
      <c r="O45">
        <v>0.87539999999999996</v>
      </c>
      <c r="P45">
        <v>7.51E-2</v>
      </c>
      <c r="Q45">
        <v>73</v>
      </c>
      <c r="R45">
        <v>295</v>
      </c>
      <c r="S45">
        <v>128.92750000000001</v>
      </c>
      <c r="T45">
        <v>5.7799999999999997E-2</v>
      </c>
      <c r="U45">
        <v>1.1249</v>
      </c>
      <c r="V45">
        <v>0.88900000000000001</v>
      </c>
      <c r="W45">
        <v>0.95699999999999996</v>
      </c>
    </row>
    <row r="46" spans="1:23" x14ac:dyDescent="0.25">
      <c r="A46">
        <v>48</v>
      </c>
      <c r="B46">
        <v>1E-3</v>
      </c>
      <c r="C46">
        <v>0</v>
      </c>
      <c r="D46">
        <v>0.1125</v>
      </c>
      <c r="E46">
        <v>3.0247000000000002</v>
      </c>
      <c r="F46">
        <v>0.67420000000000002</v>
      </c>
      <c r="G46">
        <v>3.3700000000000001E-2</v>
      </c>
      <c r="H46">
        <f t="shared" si="0"/>
        <v>33.700000000000003</v>
      </c>
      <c r="I46">
        <v>3.3700000000000001E-2</v>
      </c>
      <c r="J46">
        <f t="shared" si="1"/>
        <v>33.700000000000003</v>
      </c>
      <c r="K46">
        <f t="shared" si="2"/>
        <v>1</v>
      </c>
      <c r="L46">
        <v>3.6200000000000003E-2</v>
      </c>
      <c r="M46">
        <v>3.39E-2</v>
      </c>
      <c r="N46">
        <v>60.415999999999997</v>
      </c>
      <c r="O46">
        <v>0.95850000000000002</v>
      </c>
      <c r="P46">
        <v>3.9800000000000002E-2</v>
      </c>
      <c r="Q46">
        <v>1347</v>
      </c>
      <c r="R46">
        <v>313</v>
      </c>
      <c r="S46">
        <v>42.709400000000002</v>
      </c>
      <c r="T46">
        <v>3.3700000000000001E-2</v>
      </c>
      <c r="U46">
        <v>1.0674999999999999</v>
      </c>
      <c r="V46">
        <v>0.93679999999999997</v>
      </c>
      <c r="W46">
        <v>0.95020000000000004</v>
      </c>
    </row>
    <row r="47" spans="1:23" x14ac:dyDescent="0.25">
      <c r="A47">
        <v>49</v>
      </c>
      <c r="B47">
        <v>2E-3</v>
      </c>
      <c r="C47">
        <v>0</v>
      </c>
      <c r="D47">
        <v>0.1714</v>
      </c>
      <c r="E47">
        <v>2.9325999999999999</v>
      </c>
      <c r="F47">
        <v>0.6764</v>
      </c>
      <c r="G47">
        <v>5.3900000000000003E-2</v>
      </c>
      <c r="H47">
        <f t="shared" si="0"/>
        <v>53.900000000000006</v>
      </c>
      <c r="I47">
        <v>4.4900000000000002E-2</v>
      </c>
      <c r="J47">
        <f t="shared" si="1"/>
        <v>44.900000000000006</v>
      </c>
      <c r="K47">
        <f t="shared" si="2"/>
        <v>1.200445434298441</v>
      </c>
      <c r="L47">
        <v>5.5899999999999998E-2</v>
      </c>
      <c r="M47">
        <v>4.6199999999999998E-2</v>
      </c>
      <c r="N47">
        <v>174.90350000000001</v>
      </c>
      <c r="O47">
        <v>0.86809999999999998</v>
      </c>
      <c r="P47">
        <v>6.0299999999999999E-2</v>
      </c>
      <c r="Q47">
        <v>1305</v>
      </c>
      <c r="R47">
        <v>319</v>
      </c>
      <c r="S47">
        <v>26.565100000000001</v>
      </c>
      <c r="T47">
        <v>4.4699999999999997E-2</v>
      </c>
      <c r="U47">
        <v>1.2098</v>
      </c>
      <c r="V47">
        <v>0.8266</v>
      </c>
      <c r="W47">
        <v>0.94479999999999997</v>
      </c>
    </row>
    <row r="48" spans="1:23" x14ac:dyDescent="0.25">
      <c r="A48">
        <v>51</v>
      </c>
      <c r="B48">
        <v>2.5000000000000001E-3</v>
      </c>
      <c r="C48">
        <v>0</v>
      </c>
      <c r="D48">
        <v>0.19309999999999999</v>
      </c>
      <c r="E48">
        <v>1.1303000000000001</v>
      </c>
      <c r="F48">
        <v>0.70109999999999995</v>
      </c>
      <c r="G48">
        <v>6.0699999999999997E-2</v>
      </c>
      <c r="H48">
        <f t="shared" si="0"/>
        <v>60.699999999999996</v>
      </c>
      <c r="I48">
        <v>5.1700000000000003E-2</v>
      </c>
      <c r="J48">
        <f t="shared" si="1"/>
        <v>51.7</v>
      </c>
      <c r="K48">
        <f t="shared" si="2"/>
        <v>1.174081237911025</v>
      </c>
      <c r="L48">
        <v>6.1400000000000003E-2</v>
      </c>
      <c r="M48">
        <v>5.1499999999999997E-2</v>
      </c>
      <c r="N48">
        <v>175.05840000000001</v>
      </c>
      <c r="O48">
        <v>0.83709999999999996</v>
      </c>
      <c r="P48">
        <v>6.6400000000000001E-2</v>
      </c>
      <c r="Q48">
        <v>503</v>
      </c>
      <c r="R48">
        <v>330</v>
      </c>
      <c r="S48">
        <v>23.962499999999999</v>
      </c>
      <c r="T48">
        <v>4.9500000000000002E-2</v>
      </c>
      <c r="U48">
        <v>1.1908000000000001</v>
      </c>
      <c r="V48">
        <v>0.83979999999999999</v>
      </c>
      <c r="W48">
        <v>0.93179999999999996</v>
      </c>
    </row>
    <row r="49" spans="1:23" x14ac:dyDescent="0.25">
      <c r="A49">
        <v>52</v>
      </c>
      <c r="B49">
        <v>1.6999999999999999E-3</v>
      </c>
      <c r="C49">
        <v>0</v>
      </c>
      <c r="D49">
        <v>0.15479999999999999</v>
      </c>
      <c r="E49">
        <v>2.3325999999999998</v>
      </c>
      <c r="F49">
        <v>0.71689999999999998</v>
      </c>
      <c r="G49">
        <v>4.9399999999999999E-2</v>
      </c>
      <c r="H49">
        <f t="shared" si="0"/>
        <v>49.4</v>
      </c>
      <c r="I49">
        <v>4.0399999999999998E-2</v>
      </c>
      <c r="J49">
        <f t="shared" si="1"/>
        <v>40.4</v>
      </c>
      <c r="K49">
        <f t="shared" si="2"/>
        <v>1.2227722772277227</v>
      </c>
      <c r="L49">
        <v>5.1700000000000003E-2</v>
      </c>
      <c r="M49">
        <v>4.1500000000000002E-2</v>
      </c>
      <c r="N49">
        <v>12.7788</v>
      </c>
      <c r="O49">
        <v>0.88490000000000002</v>
      </c>
      <c r="P49">
        <v>5.67E-2</v>
      </c>
      <c r="Q49">
        <v>1039</v>
      </c>
      <c r="R49">
        <v>336</v>
      </c>
      <c r="S49">
        <v>33.690100000000001</v>
      </c>
      <c r="T49">
        <v>4.0399999999999998E-2</v>
      </c>
      <c r="U49">
        <v>1.2462</v>
      </c>
      <c r="V49">
        <v>0.80249999999999999</v>
      </c>
      <c r="W49">
        <v>0.94220000000000004</v>
      </c>
    </row>
    <row r="50" spans="1:23" x14ac:dyDescent="0.25">
      <c r="A50">
        <v>53</v>
      </c>
      <c r="B50">
        <v>1.6999999999999999E-3</v>
      </c>
      <c r="C50">
        <v>0</v>
      </c>
      <c r="D50">
        <v>0.15609999999999999</v>
      </c>
      <c r="E50">
        <v>1.6584000000000001</v>
      </c>
      <c r="F50">
        <v>0.73029999999999995</v>
      </c>
      <c r="G50">
        <v>4.7199999999999999E-2</v>
      </c>
      <c r="H50">
        <f t="shared" si="0"/>
        <v>47.199999999999996</v>
      </c>
      <c r="I50">
        <v>4.2700000000000002E-2</v>
      </c>
      <c r="J50">
        <f t="shared" si="1"/>
        <v>42.7</v>
      </c>
      <c r="K50">
        <f t="shared" si="2"/>
        <v>1.1053864168618266</v>
      </c>
      <c r="L50">
        <v>4.9099999999999998E-2</v>
      </c>
      <c r="M50">
        <v>4.3999999999999997E-2</v>
      </c>
      <c r="N50">
        <v>41.432699999999997</v>
      </c>
      <c r="O50">
        <v>0.87519999999999998</v>
      </c>
      <c r="P50">
        <v>5.62E-2</v>
      </c>
      <c r="Q50">
        <v>739</v>
      </c>
      <c r="R50">
        <v>343</v>
      </c>
      <c r="S50">
        <v>36.869900000000001</v>
      </c>
      <c r="T50">
        <v>4.2700000000000002E-2</v>
      </c>
      <c r="U50">
        <v>1.1177999999999999</v>
      </c>
      <c r="V50">
        <v>0.89459999999999995</v>
      </c>
      <c r="W50">
        <v>0.94650000000000001</v>
      </c>
    </row>
    <row r="51" spans="1:23" x14ac:dyDescent="0.25">
      <c r="A51">
        <v>54</v>
      </c>
      <c r="B51">
        <v>2.2000000000000001E-3</v>
      </c>
      <c r="C51">
        <v>0</v>
      </c>
      <c r="D51">
        <v>0.17460000000000001</v>
      </c>
      <c r="E51">
        <v>3.0516999999999999</v>
      </c>
      <c r="F51">
        <v>0.73929999999999996</v>
      </c>
      <c r="G51">
        <v>4.9399999999999999E-2</v>
      </c>
      <c r="H51">
        <f t="shared" si="0"/>
        <v>49.4</v>
      </c>
      <c r="I51">
        <v>5.1700000000000003E-2</v>
      </c>
      <c r="J51">
        <f t="shared" si="1"/>
        <v>51.7</v>
      </c>
      <c r="K51">
        <f t="shared" si="2"/>
        <v>0.95551257253384903</v>
      </c>
      <c r="L51">
        <v>5.67E-2</v>
      </c>
      <c r="M51">
        <v>4.9399999999999999E-2</v>
      </c>
      <c r="N51">
        <v>62.988199999999999</v>
      </c>
      <c r="O51">
        <v>0.90549999999999997</v>
      </c>
      <c r="P51">
        <v>6.25E-2</v>
      </c>
      <c r="Q51">
        <v>1358</v>
      </c>
      <c r="R51">
        <v>349</v>
      </c>
      <c r="S51">
        <v>37.694200000000002</v>
      </c>
      <c r="T51">
        <v>4.8399999999999999E-2</v>
      </c>
      <c r="U51">
        <v>1.1484000000000001</v>
      </c>
      <c r="V51">
        <v>0.87080000000000002</v>
      </c>
      <c r="W51">
        <v>0.95389999999999997</v>
      </c>
    </row>
    <row r="52" spans="1:23" x14ac:dyDescent="0.25">
      <c r="A52">
        <v>55</v>
      </c>
      <c r="B52">
        <v>3.3999999999999998E-3</v>
      </c>
      <c r="C52">
        <v>0</v>
      </c>
      <c r="D52">
        <v>0.22090000000000001</v>
      </c>
      <c r="E52">
        <v>1.3528</v>
      </c>
      <c r="F52">
        <v>0.75060000000000004</v>
      </c>
      <c r="G52">
        <v>6.2899999999999998E-2</v>
      </c>
      <c r="H52">
        <f t="shared" si="0"/>
        <v>62.9</v>
      </c>
      <c r="I52">
        <v>6.0699999999999997E-2</v>
      </c>
      <c r="J52">
        <f t="shared" si="1"/>
        <v>60.699999999999996</v>
      </c>
      <c r="K52">
        <f t="shared" si="2"/>
        <v>1.0362438220757826</v>
      </c>
      <c r="L52">
        <v>6.7599999999999993E-2</v>
      </c>
      <c r="M52">
        <v>6.4899999999999999E-2</v>
      </c>
      <c r="N52">
        <v>10.5251</v>
      </c>
      <c r="O52">
        <v>0.88719999999999999</v>
      </c>
      <c r="P52">
        <v>7.7299999999999994E-2</v>
      </c>
      <c r="Q52">
        <v>602</v>
      </c>
      <c r="R52">
        <v>356</v>
      </c>
      <c r="S52">
        <v>35.537700000000001</v>
      </c>
      <c r="T52">
        <v>6.0699999999999997E-2</v>
      </c>
      <c r="U52">
        <v>1.0415000000000001</v>
      </c>
      <c r="V52">
        <v>0.96020000000000005</v>
      </c>
      <c r="W52">
        <v>0.96809999999999996</v>
      </c>
    </row>
    <row r="53" spans="1:23" x14ac:dyDescent="0.25">
      <c r="A53">
        <v>56</v>
      </c>
      <c r="B53">
        <v>2.5000000000000001E-3</v>
      </c>
      <c r="C53">
        <v>0</v>
      </c>
      <c r="D53">
        <v>0.18990000000000001</v>
      </c>
      <c r="E53">
        <v>0.3775</v>
      </c>
      <c r="F53">
        <v>0.77529999999999999</v>
      </c>
      <c r="G53">
        <v>5.8400000000000001E-2</v>
      </c>
      <c r="H53">
        <f t="shared" si="0"/>
        <v>58.4</v>
      </c>
      <c r="I53">
        <v>5.1700000000000003E-2</v>
      </c>
      <c r="J53">
        <f t="shared" si="1"/>
        <v>51.7</v>
      </c>
      <c r="K53">
        <f t="shared" si="2"/>
        <v>1.1295938104448742</v>
      </c>
      <c r="L53">
        <v>6.13E-2</v>
      </c>
      <c r="M53">
        <v>5.1400000000000001E-2</v>
      </c>
      <c r="N53">
        <v>2.7395</v>
      </c>
      <c r="O53">
        <v>0.86180000000000001</v>
      </c>
      <c r="P53">
        <v>6.5600000000000006E-2</v>
      </c>
      <c r="Q53">
        <v>171</v>
      </c>
      <c r="R53">
        <v>365</v>
      </c>
      <c r="S53">
        <v>38.046999999999997</v>
      </c>
      <c r="T53">
        <v>5.1700000000000003E-2</v>
      </c>
      <c r="U53">
        <v>1.1935</v>
      </c>
      <c r="V53">
        <v>0.83789999999999998</v>
      </c>
      <c r="W53">
        <v>0.94779999999999998</v>
      </c>
    </row>
    <row r="54" spans="1:23" x14ac:dyDescent="0.25">
      <c r="A54">
        <v>57</v>
      </c>
      <c r="B54">
        <v>1.6999999999999999E-3</v>
      </c>
      <c r="C54">
        <v>0</v>
      </c>
      <c r="D54">
        <v>0.15029999999999999</v>
      </c>
      <c r="E54">
        <v>1.1101000000000001</v>
      </c>
      <c r="F54">
        <v>0.81120000000000003</v>
      </c>
      <c r="G54">
        <v>4.4900000000000002E-2</v>
      </c>
      <c r="H54">
        <f t="shared" si="0"/>
        <v>44.900000000000006</v>
      </c>
      <c r="I54">
        <v>4.2700000000000002E-2</v>
      </c>
      <c r="J54">
        <f t="shared" si="1"/>
        <v>42.7</v>
      </c>
      <c r="K54">
        <f t="shared" si="2"/>
        <v>1.0515222482435598</v>
      </c>
      <c r="L54">
        <v>4.6600000000000003E-2</v>
      </c>
      <c r="M54">
        <v>4.5100000000000001E-2</v>
      </c>
      <c r="N54">
        <v>0.71989999999999998</v>
      </c>
      <c r="O54">
        <v>0.91900000000000004</v>
      </c>
      <c r="P54">
        <v>5.1299999999999998E-2</v>
      </c>
      <c r="Q54">
        <v>494</v>
      </c>
      <c r="R54">
        <v>374</v>
      </c>
      <c r="S54">
        <v>28.8108</v>
      </c>
      <c r="T54">
        <v>4.2700000000000002E-2</v>
      </c>
      <c r="U54">
        <v>1.0318000000000001</v>
      </c>
      <c r="V54">
        <v>0.96919999999999995</v>
      </c>
      <c r="W54">
        <v>0.95340000000000003</v>
      </c>
    </row>
    <row r="55" spans="1:23" x14ac:dyDescent="0.25">
      <c r="A55">
        <v>58</v>
      </c>
      <c r="B55">
        <v>1.2999999999999999E-3</v>
      </c>
      <c r="C55">
        <v>0</v>
      </c>
      <c r="D55">
        <v>0.13569999999999999</v>
      </c>
      <c r="E55">
        <v>0.91239999999999999</v>
      </c>
      <c r="F55">
        <v>0.82020000000000004</v>
      </c>
      <c r="G55">
        <v>3.15E-2</v>
      </c>
      <c r="H55">
        <f t="shared" si="0"/>
        <v>31.5</v>
      </c>
      <c r="I55">
        <v>4.4900000000000002E-2</v>
      </c>
      <c r="J55">
        <f t="shared" si="1"/>
        <v>44.900000000000006</v>
      </c>
      <c r="K55">
        <f t="shared" si="2"/>
        <v>0.70155902004454329</v>
      </c>
      <c r="L55">
        <v>4.8800000000000003E-2</v>
      </c>
      <c r="M55">
        <v>3.2899999999999999E-2</v>
      </c>
      <c r="N55">
        <v>83.874300000000005</v>
      </c>
      <c r="O55">
        <v>0.86160000000000003</v>
      </c>
      <c r="P55">
        <v>4.99E-2</v>
      </c>
      <c r="Q55">
        <v>406</v>
      </c>
      <c r="R55">
        <v>384</v>
      </c>
      <c r="S55">
        <v>54.162300000000002</v>
      </c>
      <c r="T55">
        <v>3.15E-2</v>
      </c>
      <c r="U55">
        <v>1.4823999999999999</v>
      </c>
      <c r="V55">
        <v>0.67459999999999998</v>
      </c>
      <c r="W55">
        <v>0.95420000000000005</v>
      </c>
    </row>
    <row r="56" spans="1:23" x14ac:dyDescent="0.25">
      <c r="A56">
        <v>59</v>
      </c>
      <c r="B56">
        <v>1.1000000000000001E-3</v>
      </c>
      <c r="C56">
        <v>0</v>
      </c>
      <c r="D56">
        <v>0.12590000000000001</v>
      </c>
      <c r="E56">
        <v>2.1978</v>
      </c>
      <c r="F56">
        <v>0.8337</v>
      </c>
      <c r="G56">
        <v>4.0399999999999998E-2</v>
      </c>
      <c r="H56">
        <f t="shared" si="0"/>
        <v>40.4</v>
      </c>
      <c r="I56">
        <v>3.3700000000000001E-2</v>
      </c>
      <c r="J56">
        <f t="shared" si="1"/>
        <v>33.700000000000003</v>
      </c>
      <c r="K56">
        <f t="shared" si="2"/>
        <v>1.1988130563798218</v>
      </c>
      <c r="L56">
        <v>4.3400000000000001E-2</v>
      </c>
      <c r="M56">
        <v>3.2199999999999999E-2</v>
      </c>
      <c r="N56">
        <v>11.2735</v>
      </c>
      <c r="O56">
        <v>0.86829999999999996</v>
      </c>
      <c r="P56">
        <v>4.7399999999999998E-2</v>
      </c>
      <c r="Q56">
        <v>978</v>
      </c>
      <c r="R56">
        <v>384</v>
      </c>
      <c r="S56">
        <v>31.429600000000001</v>
      </c>
      <c r="T56">
        <v>3.3000000000000002E-2</v>
      </c>
      <c r="U56">
        <v>1.3473999999999999</v>
      </c>
      <c r="V56">
        <v>0.74219999999999997</v>
      </c>
      <c r="W56">
        <v>0.9254</v>
      </c>
    </row>
    <row r="57" spans="1:23" x14ac:dyDescent="0.25">
      <c r="A57">
        <v>61</v>
      </c>
      <c r="B57">
        <v>2.0999999999999999E-3</v>
      </c>
      <c r="C57">
        <v>0</v>
      </c>
      <c r="D57">
        <v>0.1741</v>
      </c>
      <c r="E57">
        <v>2.8763999999999998</v>
      </c>
      <c r="F57">
        <v>0.8427</v>
      </c>
      <c r="G57">
        <v>5.3900000000000003E-2</v>
      </c>
      <c r="H57">
        <f t="shared" si="0"/>
        <v>53.900000000000006</v>
      </c>
      <c r="I57">
        <v>4.4900000000000002E-2</v>
      </c>
      <c r="J57">
        <f t="shared" si="1"/>
        <v>44.900000000000006</v>
      </c>
      <c r="K57">
        <f t="shared" si="2"/>
        <v>1.200445434298441</v>
      </c>
      <c r="L57">
        <v>5.7200000000000001E-2</v>
      </c>
      <c r="M57">
        <v>4.6899999999999997E-2</v>
      </c>
      <c r="N57">
        <v>178.9907</v>
      </c>
      <c r="O57">
        <v>0.87339999999999995</v>
      </c>
      <c r="P57">
        <v>6.1100000000000002E-2</v>
      </c>
      <c r="Q57">
        <v>1281</v>
      </c>
      <c r="R57">
        <v>392</v>
      </c>
      <c r="S57">
        <v>36.0274</v>
      </c>
      <c r="T57">
        <v>4.4900000000000002E-2</v>
      </c>
      <c r="U57">
        <v>1.2208000000000001</v>
      </c>
      <c r="V57">
        <v>0.81910000000000005</v>
      </c>
      <c r="W57">
        <v>0.95099999999999996</v>
      </c>
    </row>
    <row r="58" spans="1:23" x14ac:dyDescent="0.25">
      <c r="A58">
        <v>62</v>
      </c>
      <c r="B58">
        <v>2.3999999999999998E-3</v>
      </c>
      <c r="C58">
        <v>0</v>
      </c>
      <c r="D58">
        <v>0.186</v>
      </c>
      <c r="E58">
        <v>0.45839999999999997</v>
      </c>
      <c r="F58">
        <v>0.85840000000000005</v>
      </c>
      <c r="G58">
        <v>6.2899999999999998E-2</v>
      </c>
      <c r="H58">
        <f t="shared" si="0"/>
        <v>62.9</v>
      </c>
      <c r="I58">
        <v>4.7199999999999999E-2</v>
      </c>
      <c r="J58">
        <f t="shared" si="1"/>
        <v>47.199999999999996</v>
      </c>
      <c r="K58">
        <f t="shared" si="2"/>
        <v>1.3326271186440679</v>
      </c>
      <c r="L58">
        <v>6.6299999999999998E-2</v>
      </c>
      <c r="M58">
        <v>4.6899999999999997E-2</v>
      </c>
      <c r="N58">
        <v>167.25620000000001</v>
      </c>
      <c r="O58">
        <v>0.88600000000000001</v>
      </c>
      <c r="P58">
        <v>6.7599999999999993E-2</v>
      </c>
      <c r="Q58">
        <v>204</v>
      </c>
      <c r="R58">
        <v>389</v>
      </c>
      <c r="S58">
        <v>158.5523</v>
      </c>
      <c r="T58">
        <v>4.6199999999999998E-2</v>
      </c>
      <c r="U58">
        <v>1.4135</v>
      </c>
      <c r="V58">
        <v>0.70750000000000002</v>
      </c>
      <c r="W58">
        <v>0.95169999999999999</v>
      </c>
    </row>
    <row r="59" spans="1:23" x14ac:dyDescent="0.25">
      <c r="A59">
        <v>63</v>
      </c>
      <c r="B59">
        <v>2.2000000000000001E-3</v>
      </c>
      <c r="C59">
        <v>0</v>
      </c>
      <c r="D59">
        <v>0.1772</v>
      </c>
      <c r="E59">
        <v>1.8337000000000001</v>
      </c>
      <c r="F59">
        <v>0.85840000000000005</v>
      </c>
      <c r="G59">
        <v>4.7199999999999999E-2</v>
      </c>
      <c r="H59">
        <f t="shared" si="0"/>
        <v>47.199999999999996</v>
      </c>
      <c r="I59">
        <v>5.3900000000000003E-2</v>
      </c>
      <c r="J59">
        <f t="shared" si="1"/>
        <v>53.900000000000006</v>
      </c>
      <c r="K59">
        <f t="shared" si="2"/>
        <v>0.87569573283858981</v>
      </c>
      <c r="L59">
        <v>5.91E-2</v>
      </c>
      <c r="M59">
        <v>4.7699999999999999E-2</v>
      </c>
      <c r="N59">
        <v>74.290099999999995</v>
      </c>
      <c r="O59">
        <v>0.88680000000000003</v>
      </c>
      <c r="P59">
        <v>6.3899999999999998E-2</v>
      </c>
      <c r="Q59">
        <v>817</v>
      </c>
      <c r="R59">
        <v>405</v>
      </c>
      <c r="S59">
        <v>50.710599999999999</v>
      </c>
      <c r="T59">
        <v>4.5900000000000003E-2</v>
      </c>
      <c r="U59">
        <v>1.238</v>
      </c>
      <c r="V59">
        <v>0.80779999999999996</v>
      </c>
      <c r="W59">
        <v>0.95540000000000003</v>
      </c>
    </row>
    <row r="60" spans="1:23" x14ac:dyDescent="0.25">
      <c r="A60">
        <v>64</v>
      </c>
      <c r="B60">
        <v>2.5999999999999999E-3</v>
      </c>
      <c r="C60">
        <v>0</v>
      </c>
      <c r="D60">
        <v>0.18940000000000001</v>
      </c>
      <c r="E60">
        <v>1.982</v>
      </c>
      <c r="F60">
        <v>0.86519999999999997</v>
      </c>
      <c r="G60">
        <v>6.0699999999999997E-2</v>
      </c>
      <c r="H60">
        <f t="shared" si="0"/>
        <v>60.699999999999996</v>
      </c>
      <c r="I60">
        <v>4.7199999999999999E-2</v>
      </c>
      <c r="J60">
        <f t="shared" si="1"/>
        <v>47.199999999999996</v>
      </c>
      <c r="K60">
        <f t="shared" si="2"/>
        <v>1.2860169491525424</v>
      </c>
      <c r="L60">
        <v>6.4600000000000005E-2</v>
      </c>
      <c r="M60">
        <v>5.0299999999999997E-2</v>
      </c>
      <c r="N60">
        <v>176.21420000000001</v>
      </c>
      <c r="O60">
        <v>0.89329999999999998</v>
      </c>
      <c r="P60">
        <v>6.6699999999999995E-2</v>
      </c>
      <c r="Q60">
        <v>883</v>
      </c>
      <c r="R60">
        <v>388</v>
      </c>
      <c r="S60">
        <v>147.38079999999999</v>
      </c>
      <c r="T60">
        <v>4.7199999999999999E-2</v>
      </c>
      <c r="U60">
        <v>1.2835000000000001</v>
      </c>
      <c r="V60">
        <v>0.77910000000000001</v>
      </c>
      <c r="W60">
        <v>0.96189999999999998</v>
      </c>
    </row>
    <row r="61" spans="1:23" x14ac:dyDescent="0.25">
      <c r="A61">
        <v>69</v>
      </c>
      <c r="B61">
        <v>2.8999999999999998E-3</v>
      </c>
      <c r="C61">
        <v>0</v>
      </c>
      <c r="D61">
        <v>0.20549999999999999</v>
      </c>
      <c r="E61">
        <v>1.3258000000000001</v>
      </c>
      <c r="F61">
        <v>0.92579999999999996</v>
      </c>
      <c r="G61">
        <v>6.5199999999999994E-2</v>
      </c>
      <c r="H61">
        <f t="shared" si="0"/>
        <v>65.199999999999989</v>
      </c>
      <c r="I61">
        <v>4.9399999999999999E-2</v>
      </c>
      <c r="J61">
        <f t="shared" si="1"/>
        <v>49.4</v>
      </c>
      <c r="K61">
        <f t="shared" si="2"/>
        <v>1.3198380566801617</v>
      </c>
      <c r="L61">
        <v>7.0800000000000002E-2</v>
      </c>
      <c r="M61">
        <v>5.2499999999999998E-2</v>
      </c>
      <c r="N61">
        <v>174.6927</v>
      </c>
      <c r="O61">
        <v>0.86839999999999995</v>
      </c>
      <c r="P61">
        <v>7.2900000000000006E-2</v>
      </c>
      <c r="Q61">
        <v>591</v>
      </c>
      <c r="R61">
        <v>414</v>
      </c>
      <c r="S61">
        <v>146.3099</v>
      </c>
      <c r="T61">
        <v>4.9399999999999999E-2</v>
      </c>
      <c r="U61">
        <v>1.3486</v>
      </c>
      <c r="V61">
        <v>0.74150000000000005</v>
      </c>
      <c r="W61">
        <v>0.96489999999999998</v>
      </c>
    </row>
    <row r="62" spans="1:23" x14ac:dyDescent="0.25">
      <c r="A62">
        <v>71</v>
      </c>
      <c r="B62">
        <v>2.8E-3</v>
      </c>
      <c r="C62">
        <v>0</v>
      </c>
      <c r="D62">
        <v>0.2132</v>
      </c>
      <c r="E62">
        <v>0.65169999999999995</v>
      </c>
      <c r="F62">
        <v>0.93259999999999998</v>
      </c>
      <c r="G62">
        <v>7.4200000000000002E-2</v>
      </c>
      <c r="H62">
        <f t="shared" si="0"/>
        <v>74.2</v>
      </c>
      <c r="I62">
        <v>4.2700000000000002E-2</v>
      </c>
      <c r="J62">
        <f t="shared" si="1"/>
        <v>42.7</v>
      </c>
      <c r="K62">
        <f t="shared" si="2"/>
        <v>1.7377049180327868</v>
      </c>
      <c r="L62">
        <v>7.8299999999999995E-2</v>
      </c>
      <c r="M62">
        <v>4.5600000000000002E-2</v>
      </c>
      <c r="N62">
        <v>178.17490000000001</v>
      </c>
      <c r="O62">
        <v>0.77490000000000003</v>
      </c>
      <c r="P62">
        <v>7.85E-2</v>
      </c>
      <c r="Q62">
        <v>290</v>
      </c>
      <c r="R62">
        <v>430</v>
      </c>
      <c r="S62">
        <v>23.6294</v>
      </c>
      <c r="T62">
        <v>4.2700000000000002E-2</v>
      </c>
      <c r="U62">
        <v>1.7179</v>
      </c>
      <c r="V62">
        <v>0.58209999999999995</v>
      </c>
      <c r="W62">
        <v>0.95030000000000003</v>
      </c>
    </row>
    <row r="63" spans="1:23" x14ac:dyDescent="0.25">
      <c r="A63">
        <v>72</v>
      </c>
      <c r="B63">
        <v>5.9999999999999995E-4</v>
      </c>
      <c r="C63">
        <v>0</v>
      </c>
      <c r="D63">
        <v>0.1109</v>
      </c>
      <c r="E63">
        <v>0.32579999999999998</v>
      </c>
      <c r="F63">
        <v>0.94610000000000005</v>
      </c>
      <c r="G63">
        <v>4.2700000000000002E-2</v>
      </c>
      <c r="H63">
        <f t="shared" si="0"/>
        <v>42.7</v>
      </c>
      <c r="I63">
        <v>2.92E-2</v>
      </c>
      <c r="J63">
        <f t="shared" si="1"/>
        <v>29.2</v>
      </c>
      <c r="K63">
        <f t="shared" si="2"/>
        <v>1.4623287671232879</v>
      </c>
      <c r="L63">
        <v>4.65E-2</v>
      </c>
      <c r="M63">
        <v>1.7000000000000001E-2</v>
      </c>
      <c r="N63">
        <v>151.6174</v>
      </c>
      <c r="O63">
        <v>0.63449999999999995</v>
      </c>
      <c r="P63">
        <v>4.6300000000000001E-2</v>
      </c>
      <c r="Q63">
        <v>145</v>
      </c>
      <c r="R63">
        <v>424</v>
      </c>
      <c r="S63">
        <v>157.16630000000001</v>
      </c>
      <c r="T63">
        <v>1.9599999999999999E-2</v>
      </c>
      <c r="U63">
        <v>2.7347999999999999</v>
      </c>
      <c r="V63">
        <v>0.36570000000000003</v>
      </c>
      <c r="W63">
        <v>0.83109999999999995</v>
      </c>
    </row>
    <row r="64" spans="1:23" x14ac:dyDescent="0.25">
      <c r="A64">
        <v>73</v>
      </c>
      <c r="B64">
        <v>2.0999999999999999E-3</v>
      </c>
      <c r="C64">
        <v>0</v>
      </c>
      <c r="D64">
        <v>0.1812</v>
      </c>
      <c r="E64">
        <v>1.9100999999999999</v>
      </c>
      <c r="F64">
        <v>0.99329999999999996</v>
      </c>
      <c r="G64">
        <v>6.0699999999999997E-2</v>
      </c>
      <c r="H64">
        <f t="shared" si="0"/>
        <v>60.699999999999996</v>
      </c>
      <c r="I64">
        <v>4.0399999999999998E-2</v>
      </c>
      <c r="J64">
        <f t="shared" si="1"/>
        <v>40.4</v>
      </c>
      <c r="K64">
        <f t="shared" si="2"/>
        <v>1.5024752475247525</v>
      </c>
      <c r="L64">
        <v>6.3899999999999998E-2</v>
      </c>
      <c r="M64">
        <v>4.2799999999999998E-2</v>
      </c>
      <c r="N64">
        <v>172.58529999999999</v>
      </c>
      <c r="O64">
        <v>0.82150000000000001</v>
      </c>
      <c r="P64">
        <v>6.7500000000000004E-2</v>
      </c>
      <c r="Q64">
        <v>850</v>
      </c>
      <c r="R64">
        <v>444</v>
      </c>
      <c r="S64">
        <v>150.01840000000001</v>
      </c>
      <c r="T64">
        <v>4.0399999999999998E-2</v>
      </c>
      <c r="U64">
        <v>1.4931000000000001</v>
      </c>
      <c r="V64">
        <v>0.66969999999999996</v>
      </c>
      <c r="W64">
        <v>0.94869999999999999</v>
      </c>
    </row>
    <row r="65" spans="1:23" x14ac:dyDescent="0.25">
      <c r="A65">
        <v>74</v>
      </c>
      <c r="B65">
        <v>1.2999999999999999E-3</v>
      </c>
      <c r="C65">
        <v>0</v>
      </c>
      <c r="D65">
        <v>0.1336</v>
      </c>
      <c r="E65">
        <v>3.2382</v>
      </c>
      <c r="F65">
        <v>1</v>
      </c>
      <c r="G65">
        <v>3.8199999999999998E-2</v>
      </c>
      <c r="H65">
        <f t="shared" si="0"/>
        <v>38.199999999999996</v>
      </c>
      <c r="I65">
        <v>4.0399999999999998E-2</v>
      </c>
      <c r="J65">
        <f t="shared" si="1"/>
        <v>40.4</v>
      </c>
      <c r="K65">
        <f t="shared" si="2"/>
        <v>0.9455445544554455</v>
      </c>
      <c r="L65">
        <v>4.1300000000000003E-2</v>
      </c>
      <c r="M65">
        <v>3.9399999999999998E-2</v>
      </c>
      <c r="N65">
        <v>113.9528</v>
      </c>
      <c r="O65">
        <v>0.89939999999999998</v>
      </c>
      <c r="P65">
        <v>4.6300000000000001E-2</v>
      </c>
      <c r="Q65">
        <v>1443</v>
      </c>
      <c r="R65">
        <v>446</v>
      </c>
      <c r="S65">
        <v>129.09389999999999</v>
      </c>
      <c r="T65">
        <v>3.8199999999999998E-2</v>
      </c>
      <c r="U65">
        <v>1.0489999999999999</v>
      </c>
      <c r="V65">
        <v>0.95330000000000004</v>
      </c>
      <c r="W65">
        <v>0.93359999999999999</v>
      </c>
    </row>
    <row r="66" spans="1:23" x14ac:dyDescent="0.25">
      <c r="A66">
        <v>75</v>
      </c>
      <c r="B66">
        <v>1.4E-3</v>
      </c>
      <c r="C66">
        <v>0</v>
      </c>
      <c r="D66">
        <v>0.1482</v>
      </c>
      <c r="E66">
        <v>0.59099999999999997</v>
      </c>
      <c r="F66">
        <v>1.0157</v>
      </c>
      <c r="G66">
        <v>4.7199999999999999E-2</v>
      </c>
      <c r="H66">
        <f t="shared" si="0"/>
        <v>47.199999999999996</v>
      </c>
      <c r="I66">
        <v>3.5999999999999997E-2</v>
      </c>
      <c r="J66">
        <f t="shared" si="1"/>
        <v>36</v>
      </c>
      <c r="K66">
        <f t="shared" si="2"/>
        <v>1.3111111111111109</v>
      </c>
      <c r="L66">
        <v>4.6100000000000002E-2</v>
      </c>
      <c r="M66">
        <v>3.7400000000000003E-2</v>
      </c>
      <c r="N66">
        <v>5.7234999999999996</v>
      </c>
      <c r="O66">
        <v>0.77449999999999997</v>
      </c>
      <c r="P66">
        <v>5.0500000000000003E-2</v>
      </c>
      <c r="Q66">
        <v>263</v>
      </c>
      <c r="R66">
        <v>465</v>
      </c>
      <c r="S66">
        <v>20.854500000000002</v>
      </c>
      <c r="T66">
        <v>3.5999999999999997E-2</v>
      </c>
      <c r="U66">
        <v>1.2347999999999999</v>
      </c>
      <c r="V66">
        <v>0.80989999999999995</v>
      </c>
      <c r="W66">
        <v>0.90239999999999998</v>
      </c>
    </row>
    <row r="67" spans="1:23" x14ac:dyDescent="0.25">
      <c r="A67">
        <v>76</v>
      </c>
      <c r="B67">
        <v>2.5999999999999999E-3</v>
      </c>
      <c r="C67">
        <v>0</v>
      </c>
      <c r="D67">
        <v>0.19389999999999999</v>
      </c>
      <c r="E67">
        <v>2.2944</v>
      </c>
      <c r="F67">
        <v>1.0471999999999999</v>
      </c>
      <c r="G67">
        <v>6.2899999999999998E-2</v>
      </c>
      <c r="H67">
        <f t="shared" ref="H67:H130" si="3">G67*1000</f>
        <v>62.9</v>
      </c>
      <c r="I67">
        <v>4.7199999999999999E-2</v>
      </c>
      <c r="J67">
        <f t="shared" ref="J67:J130" si="4">I67*1000</f>
        <v>47.199999999999996</v>
      </c>
      <c r="K67">
        <f t="shared" ref="K67:K130" si="5">H67/J67</f>
        <v>1.3326271186440679</v>
      </c>
      <c r="L67">
        <v>6.6299999999999998E-2</v>
      </c>
      <c r="M67">
        <v>4.9200000000000001E-2</v>
      </c>
      <c r="N67">
        <v>175.78020000000001</v>
      </c>
      <c r="O67">
        <v>0.85750000000000004</v>
      </c>
      <c r="P67">
        <v>6.7900000000000002E-2</v>
      </c>
      <c r="Q67">
        <v>1023</v>
      </c>
      <c r="R67">
        <v>467</v>
      </c>
      <c r="S67">
        <v>145.7843</v>
      </c>
      <c r="T67">
        <v>4.6699999999999998E-2</v>
      </c>
      <c r="U67">
        <v>1.3467</v>
      </c>
      <c r="V67">
        <v>0.74260000000000004</v>
      </c>
      <c r="W67">
        <v>0.9486</v>
      </c>
    </row>
    <row r="68" spans="1:23" x14ac:dyDescent="0.25">
      <c r="A68">
        <v>77</v>
      </c>
      <c r="B68">
        <v>1.2999999999999999E-3</v>
      </c>
      <c r="C68">
        <v>0</v>
      </c>
      <c r="D68">
        <v>0.13170000000000001</v>
      </c>
      <c r="E68">
        <v>0.65169999999999995</v>
      </c>
      <c r="F68">
        <v>1.0539000000000001</v>
      </c>
      <c r="G68">
        <v>3.5999999999999997E-2</v>
      </c>
      <c r="H68">
        <f t="shared" si="3"/>
        <v>36</v>
      </c>
      <c r="I68">
        <v>4.0399999999999998E-2</v>
      </c>
      <c r="J68">
        <f t="shared" si="4"/>
        <v>40.4</v>
      </c>
      <c r="K68">
        <f t="shared" si="5"/>
        <v>0.8910891089108911</v>
      </c>
      <c r="L68">
        <v>4.3400000000000001E-2</v>
      </c>
      <c r="M68">
        <v>3.7999999999999999E-2</v>
      </c>
      <c r="N68">
        <v>81.357600000000005</v>
      </c>
      <c r="O68">
        <v>0.93959999999999999</v>
      </c>
      <c r="P68">
        <v>4.6300000000000001E-2</v>
      </c>
      <c r="Q68">
        <v>292</v>
      </c>
      <c r="R68">
        <v>486</v>
      </c>
      <c r="S68">
        <v>50.906100000000002</v>
      </c>
      <c r="T68">
        <v>3.5999999999999997E-2</v>
      </c>
      <c r="U68">
        <v>1.1416999999999999</v>
      </c>
      <c r="V68">
        <v>0.87590000000000001</v>
      </c>
      <c r="W68">
        <v>0.96440000000000003</v>
      </c>
    </row>
    <row r="69" spans="1:23" x14ac:dyDescent="0.25">
      <c r="A69">
        <v>78</v>
      </c>
      <c r="B69">
        <v>1.9E-3</v>
      </c>
      <c r="C69">
        <v>0</v>
      </c>
      <c r="D69">
        <v>0.1754</v>
      </c>
      <c r="E69">
        <v>3.1145999999999998</v>
      </c>
      <c r="F69">
        <v>1.0607</v>
      </c>
      <c r="G69">
        <v>6.2899999999999998E-2</v>
      </c>
      <c r="H69">
        <f t="shared" si="3"/>
        <v>62.9</v>
      </c>
      <c r="I69">
        <v>3.5999999999999997E-2</v>
      </c>
      <c r="J69">
        <f t="shared" si="4"/>
        <v>36</v>
      </c>
      <c r="K69">
        <f t="shared" si="5"/>
        <v>1.7472222222222222</v>
      </c>
      <c r="L69">
        <v>6.6000000000000003E-2</v>
      </c>
      <c r="M69">
        <v>3.6799999999999999E-2</v>
      </c>
      <c r="N69">
        <v>177.41159999999999</v>
      </c>
      <c r="O69">
        <v>0.77990000000000004</v>
      </c>
      <c r="P69">
        <v>6.54E-2</v>
      </c>
      <c r="Q69">
        <v>1386</v>
      </c>
      <c r="R69">
        <v>484</v>
      </c>
      <c r="S69">
        <v>15.945399999999999</v>
      </c>
      <c r="T69">
        <v>3.5999999999999997E-2</v>
      </c>
      <c r="U69">
        <v>1.7919</v>
      </c>
      <c r="V69">
        <v>0.55810000000000004</v>
      </c>
      <c r="W69">
        <v>0.93559999999999999</v>
      </c>
    </row>
    <row r="70" spans="1:23" x14ac:dyDescent="0.25">
      <c r="A70">
        <v>79</v>
      </c>
      <c r="B70">
        <v>4.1000000000000003E-3</v>
      </c>
      <c r="C70">
        <v>0</v>
      </c>
      <c r="D70">
        <v>0.245</v>
      </c>
      <c r="E70">
        <v>1.8</v>
      </c>
      <c r="F70">
        <v>1.0697000000000001</v>
      </c>
      <c r="G70">
        <v>8.3099999999999993E-2</v>
      </c>
      <c r="H70">
        <f t="shared" si="3"/>
        <v>83.1</v>
      </c>
      <c r="I70">
        <v>5.8400000000000001E-2</v>
      </c>
      <c r="J70">
        <f t="shared" si="4"/>
        <v>58.4</v>
      </c>
      <c r="K70">
        <f t="shared" si="5"/>
        <v>1.422945205479452</v>
      </c>
      <c r="L70">
        <v>8.6699999999999999E-2</v>
      </c>
      <c r="M70">
        <v>6.0199999999999997E-2</v>
      </c>
      <c r="N70">
        <v>171.82320000000001</v>
      </c>
      <c r="O70">
        <v>0.85860000000000003</v>
      </c>
      <c r="P70">
        <v>8.7499999999999994E-2</v>
      </c>
      <c r="Q70">
        <v>803</v>
      </c>
      <c r="R70">
        <v>480</v>
      </c>
      <c r="S70">
        <v>150.80250000000001</v>
      </c>
      <c r="T70">
        <v>5.79E-2</v>
      </c>
      <c r="U70">
        <v>1.4404999999999999</v>
      </c>
      <c r="V70">
        <v>0.69420000000000004</v>
      </c>
      <c r="W70">
        <v>0.95750000000000002</v>
      </c>
    </row>
    <row r="71" spans="1:23" x14ac:dyDescent="0.25">
      <c r="A71">
        <v>80</v>
      </c>
      <c r="B71">
        <v>1.5E-3</v>
      </c>
      <c r="C71">
        <v>0</v>
      </c>
      <c r="D71">
        <v>0.14649999999999999</v>
      </c>
      <c r="E71">
        <v>3.2673999999999999</v>
      </c>
      <c r="F71">
        <v>1.0697000000000001</v>
      </c>
      <c r="G71">
        <v>4.4900000000000002E-2</v>
      </c>
      <c r="H71">
        <f t="shared" si="3"/>
        <v>44.900000000000006</v>
      </c>
      <c r="I71">
        <v>3.8199999999999998E-2</v>
      </c>
      <c r="J71">
        <f t="shared" si="4"/>
        <v>38.199999999999996</v>
      </c>
      <c r="K71">
        <f t="shared" si="5"/>
        <v>1.1753926701570683</v>
      </c>
      <c r="L71">
        <v>4.7699999999999999E-2</v>
      </c>
      <c r="M71">
        <v>4.0399999999999998E-2</v>
      </c>
      <c r="N71">
        <v>177.13910000000001</v>
      </c>
      <c r="O71">
        <v>0.88649999999999995</v>
      </c>
      <c r="P71">
        <v>5.2400000000000002E-2</v>
      </c>
      <c r="Q71">
        <v>1454</v>
      </c>
      <c r="R71">
        <v>490</v>
      </c>
      <c r="S71">
        <v>30.963799999999999</v>
      </c>
      <c r="T71">
        <v>3.8199999999999998E-2</v>
      </c>
      <c r="U71">
        <v>1.1815</v>
      </c>
      <c r="V71">
        <v>0.84640000000000004</v>
      </c>
      <c r="W71">
        <v>0.95089999999999997</v>
      </c>
    </row>
    <row r="72" spans="1:23" x14ac:dyDescent="0.25">
      <c r="A72">
        <v>81</v>
      </c>
      <c r="B72">
        <v>1.1999999999999999E-3</v>
      </c>
      <c r="C72">
        <v>0</v>
      </c>
      <c r="D72">
        <v>0.12520000000000001</v>
      </c>
      <c r="E72">
        <v>3.1888000000000001</v>
      </c>
      <c r="F72">
        <v>1.0719000000000001</v>
      </c>
      <c r="G72">
        <v>3.8199999999999998E-2</v>
      </c>
      <c r="H72">
        <f t="shared" si="3"/>
        <v>38.199999999999996</v>
      </c>
      <c r="I72">
        <v>3.8199999999999998E-2</v>
      </c>
      <c r="J72">
        <f t="shared" si="4"/>
        <v>38.199999999999996</v>
      </c>
      <c r="K72">
        <f t="shared" si="5"/>
        <v>1</v>
      </c>
      <c r="L72">
        <v>3.9899999999999998E-2</v>
      </c>
      <c r="M72">
        <v>3.6900000000000002E-2</v>
      </c>
      <c r="N72">
        <v>26.891400000000001</v>
      </c>
      <c r="O72">
        <v>0.92759999999999998</v>
      </c>
      <c r="P72">
        <v>4.36E-2</v>
      </c>
      <c r="Q72">
        <v>1420</v>
      </c>
      <c r="R72">
        <v>492</v>
      </c>
      <c r="S72">
        <v>34.508499999999998</v>
      </c>
      <c r="T72">
        <v>3.8199999999999998E-2</v>
      </c>
      <c r="U72">
        <v>1.0797000000000001</v>
      </c>
      <c r="V72">
        <v>0.92620000000000002</v>
      </c>
      <c r="W72">
        <v>0.93279999999999996</v>
      </c>
    </row>
    <row r="73" spans="1:23" x14ac:dyDescent="0.25">
      <c r="A73">
        <v>82</v>
      </c>
      <c r="B73">
        <v>1.1999999999999999E-3</v>
      </c>
      <c r="C73">
        <v>0</v>
      </c>
      <c r="D73">
        <v>0.12909999999999999</v>
      </c>
      <c r="E73">
        <v>0.86070000000000002</v>
      </c>
      <c r="F73">
        <v>1.0989</v>
      </c>
      <c r="G73">
        <v>3.5999999999999997E-2</v>
      </c>
      <c r="H73">
        <f t="shared" si="3"/>
        <v>36</v>
      </c>
      <c r="I73">
        <v>4.0399999999999998E-2</v>
      </c>
      <c r="J73">
        <f t="shared" si="4"/>
        <v>40.4</v>
      </c>
      <c r="K73">
        <f t="shared" si="5"/>
        <v>0.8910891089108911</v>
      </c>
      <c r="L73">
        <v>4.2599999999999999E-2</v>
      </c>
      <c r="M73">
        <v>3.6400000000000002E-2</v>
      </c>
      <c r="N73">
        <v>113.68049999999999</v>
      </c>
      <c r="O73">
        <v>0.91739999999999999</v>
      </c>
      <c r="P73">
        <v>4.7399999999999998E-2</v>
      </c>
      <c r="Q73">
        <v>384</v>
      </c>
      <c r="R73">
        <v>489</v>
      </c>
      <c r="S73">
        <v>121.42959999999999</v>
      </c>
      <c r="T73">
        <v>3.5999999999999997E-2</v>
      </c>
      <c r="U73">
        <v>1.1704000000000001</v>
      </c>
      <c r="V73">
        <v>0.85440000000000005</v>
      </c>
      <c r="W73">
        <v>0.9526</v>
      </c>
    </row>
    <row r="74" spans="1:23" x14ac:dyDescent="0.25">
      <c r="A74">
        <v>83</v>
      </c>
      <c r="B74">
        <v>1.2999999999999999E-3</v>
      </c>
      <c r="C74">
        <v>0</v>
      </c>
      <c r="D74">
        <v>0.13439999999999999</v>
      </c>
      <c r="E74">
        <v>2.4315000000000002</v>
      </c>
      <c r="F74">
        <v>1.1033999999999999</v>
      </c>
      <c r="G74">
        <v>3.5999999999999997E-2</v>
      </c>
      <c r="H74">
        <f t="shared" si="3"/>
        <v>36</v>
      </c>
      <c r="I74">
        <v>4.0399999999999998E-2</v>
      </c>
      <c r="J74">
        <f t="shared" si="4"/>
        <v>40.4</v>
      </c>
      <c r="K74">
        <f t="shared" si="5"/>
        <v>0.8910891089108911</v>
      </c>
      <c r="L74">
        <v>4.3299999999999998E-2</v>
      </c>
      <c r="M74">
        <v>3.7400000000000003E-2</v>
      </c>
      <c r="N74">
        <v>74.180999999999997</v>
      </c>
      <c r="O74">
        <v>0.88560000000000005</v>
      </c>
      <c r="P74">
        <v>4.8099999999999997E-2</v>
      </c>
      <c r="Q74">
        <v>1083</v>
      </c>
      <c r="R74">
        <v>508</v>
      </c>
      <c r="S74">
        <v>52.5946</v>
      </c>
      <c r="T74">
        <v>3.5999999999999997E-2</v>
      </c>
      <c r="U74">
        <v>1.1573</v>
      </c>
      <c r="V74">
        <v>0.86409999999999998</v>
      </c>
      <c r="W74">
        <v>0.94740000000000002</v>
      </c>
    </row>
    <row r="75" spans="1:23" x14ac:dyDescent="0.25">
      <c r="A75">
        <v>84</v>
      </c>
      <c r="B75">
        <v>2.7000000000000001E-3</v>
      </c>
      <c r="C75">
        <v>0</v>
      </c>
      <c r="D75">
        <v>0.19439999999999999</v>
      </c>
      <c r="E75">
        <v>3.0562</v>
      </c>
      <c r="F75">
        <v>1.1033999999999999</v>
      </c>
      <c r="G75">
        <v>5.1700000000000003E-2</v>
      </c>
      <c r="H75">
        <f t="shared" si="3"/>
        <v>51.7</v>
      </c>
      <c r="I75">
        <v>6.0699999999999997E-2</v>
      </c>
      <c r="J75">
        <f t="shared" si="4"/>
        <v>60.699999999999996</v>
      </c>
      <c r="K75">
        <f t="shared" si="5"/>
        <v>0.85172981878088971</v>
      </c>
      <c r="L75">
        <v>6.5799999999999997E-2</v>
      </c>
      <c r="M75">
        <v>5.2900000000000003E-2</v>
      </c>
      <c r="N75">
        <v>73.746399999999994</v>
      </c>
      <c r="O75">
        <v>0.90800000000000003</v>
      </c>
      <c r="P75">
        <v>6.9199999999999998E-2</v>
      </c>
      <c r="Q75">
        <v>1362</v>
      </c>
      <c r="R75">
        <v>517</v>
      </c>
      <c r="S75">
        <v>54.246099999999998</v>
      </c>
      <c r="T75">
        <v>5.11E-2</v>
      </c>
      <c r="U75">
        <v>1.2439</v>
      </c>
      <c r="V75">
        <v>0.80389999999999995</v>
      </c>
      <c r="W75">
        <v>0.96350000000000002</v>
      </c>
    </row>
    <row r="76" spans="1:23" x14ac:dyDescent="0.25">
      <c r="A76">
        <v>85</v>
      </c>
      <c r="B76">
        <v>2.3E-3</v>
      </c>
      <c r="C76">
        <v>0</v>
      </c>
      <c r="D76">
        <v>0.18229999999999999</v>
      </c>
      <c r="E76">
        <v>0.76400000000000001</v>
      </c>
      <c r="F76">
        <v>1.1213</v>
      </c>
      <c r="G76">
        <v>6.2899999999999998E-2</v>
      </c>
      <c r="H76">
        <f t="shared" si="3"/>
        <v>62.9</v>
      </c>
      <c r="I76">
        <v>4.2700000000000002E-2</v>
      </c>
      <c r="J76">
        <f t="shared" si="4"/>
        <v>42.7</v>
      </c>
      <c r="K76">
        <f t="shared" si="5"/>
        <v>1.4730679156908664</v>
      </c>
      <c r="L76">
        <v>6.6600000000000006E-2</v>
      </c>
      <c r="M76">
        <v>4.3499999999999997E-2</v>
      </c>
      <c r="N76">
        <v>2.1322000000000001</v>
      </c>
      <c r="O76">
        <v>0.86140000000000005</v>
      </c>
      <c r="P76">
        <v>6.8500000000000005E-2</v>
      </c>
      <c r="Q76">
        <v>340</v>
      </c>
      <c r="R76">
        <v>515</v>
      </c>
      <c r="S76">
        <v>23.198599999999999</v>
      </c>
      <c r="T76">
        <v>4.24E-2</v>
      </c>
      <c r="U76">
        <v>1.5291999999999999</v>
      </c>
      <c r="V76">
        <v>0.65390000000000004</v>
      </c>
      <c r="W76">
        <v>0.94950000000000001</v>
      </c>
    </row>
    <row r="77" spans="1:23" x14ac:dyDescent="0.25">
      <c r="A77">
        <v>86</v>
      </c>
      <c r="B77">
        <v>2.2000000000000001E-3</v>
      </c>
      <c r="C77">
        <v>0</v>
      </c>
      <c r="D77">
        <v>0.1759</v>
      </c>
      <c r="E77">
        <v>2.5257999999999998</v>
      </c>
      <c r="F77">
        <v>1.1528</v>
      </c>
      <c r="G77">
        <v>4.7199999999999999E-2</v>
      </c>
      <c r="H77">
        <f t="shared" si="3"/>
        <v>47.199999999999996</v>
      </c>
      <c r="I77">
        <v>5.3900000000000003E-2</v>
      </c>
      <c r="J77">
        <f t="shared" si="4"/>
        <v>53.900000000000006</v>
      </c>
      <c r="K77">
        <f t="shared" si="5"/>
        <v>0.87569573283858981</v>
      </c>
      <c r="L77">
        <v>5.6899999999999999E-2</v>
      </c>
      <c r="M77">
        <v>4.9700000000000001E-2</v>
      </c>
      <c r="N77">
        <v>94.324299999999994</v>
      </c>
      <c r="O77">
        <v>0.9022</v>
      </c>
      <c r="P77">
        <v>6.1699999999999998E-2</v>
      </c>
      <c r="Q77">
        <v>1127</v>
      </c>
      <c r="R77">
        <v>513</v>
      </c>
      <c r="S77">
        <v>123.1113</v>
      </c>
      <c r="T77">
        <v>4.7199999999999999E-2</v>
      </c>
      <c r="U77">
        <v>1.1451</v>
      </c>
      <c r="V77">
        <v>0.87329999999999997</v>
      </c>
      <c r="W77">
        <v>0.95650000000000002</v>
      </c>
    </row>
    <row r="78" spans="1:23" x14ac:dyDescent="0.25">
      <c r="A78">
        <v>87</v>
      </c>
      <c r="B78">
        <v>1.2999999999999999E-3</v>
      </c>
      <c r="C78">
        <v>0</v>
      </c>
      <c r="D78">
        <v>0.13039999999999999</v>
      </c>
      <c r="E78">
        <v>3.3639999999999999</v>
      </c>
      <c r="F78">
        <v>1.1662999999999999</v>
      </c>
      <c r="G78">
        <v>4.0399999999999998E-2</v>
      </c>
      <c r="H78">
        <f t="shared" si="3"/>
        <v>40.4</v>
      </c>
      <c r="I78">
        <v>3.5999999999999997E-2</v>
      </c>
      <c r="J78">
        <f t="shared" si="4"/>
        <v>36</v>
      </c>
      <c r="K78">
        <f t="shared" si="5"/>
        <v>1.1222222222222222</v>
      </c>
      <c r="L78">
        <v>4.2900000000000001E-2</v>
      </c>
      <c r="M78">
        <v>3.7199999999999997E-2</v>
      </c>
      <c r="N78">
        <v>0.77869999999999995</v>
      </c>
      <c r="O78">
        <v>0.92510000000000003</v>
      </c>
      <c r="P78">
        <v>4.5499999999999999E-2</v>
      </c>
      <c r="Q78">
        <v>1497</v>
      </c>
      <c r="R78">
        <v>533</v>
      </c>
      <c r="S78">
        <v>32.905200000000001</v>
      </c>
      <c r="T78">
        <v>3.5999999999999997E-2</v>
      </c>
      <c r="U78">
        <v>1.1535</v>
      </c>
      <c r="V78">
        <v>0.8669</v>
      </c>
      <c r="W78">
        <v>0.95199999999999996</v>
      </c>
    </row>
    <row r="79" spans="1:23" x14ac:dyDescent="0.25">
      <c r="A79">
        <v>88</v>
      </c>
      <c r="B79">
        <v>1.1999999999999999E-3</v>
      </c>
      <c r="C79">
        <v>0</v>
      </c>
      <c r="D79">
        <v>0.1331</v>
      </c>
      <c r="E79">
        <v>1.8539000000000001</v>
      </c>
      <c r="F79">
        <v>1.1842999999999999</v>
      </c>
      <c r="G79">
        <v>4.0399999999999998E-2</v>
      </c>
      <c r="H79">
        <f t="shared" si="3"/>
        <v>40.4</v>
      </c>
      <c r="I79">
        <v>3.5999999999999997E-2</v>
      </c>
      <c r="J79">
        <f t="shared" si="4"/>
        <v>36</v>
      </c>
      <c r="K79">
        <f t="shared" si="5"/>
        <v>1.1222222222222222</v>
      </c>
      <c r="L79">
        <v>4.3499999999999997E-2</v>
      </c>
      <c r="M79">
        <v>3.5000000000000003E-2</v>
      </c>
      <c r="N79">
        <v>171.7748</v>
      </c>
      <c r="O79">
        <v>0.84940000000000004</v>
      </c>
      <c r="P79">
        <v>4.7699999999999999E-2</v>
      </c>
      <c r="Q79">
        <v>826</v>
      </c>
      <c r="R79">
        <v>527</v>
      </c>
      <c r="S79">
        <v>135</v>
      </c>
      <c r="T79">
        <v>3.4599999999999999E-2</v>
      </c>
      <c r="U79">
        <v>1.2423</v>
      </c>
      <c r="V79">
        <v>0.80489999999999995</v>
      </c>
      <c r="W79">
        <v>0.92759999999999998</v>
      </c>
    </row>
    <row r="80" spans="1:23" x14ac:dyDescent="0.25">
      <c r="A80">
        <v>89</v>
      </c>
      <c r="B80">
        <v>2.5999999999999999E-3</v>
      </c>
      <c r="C80">
        <v>0</v>
      </c>
      <c r="D80">
        <v>0.18940000000000001</v>
      </c>
      <c r="E80">
        <v>0.62019999999999997</v>
      </c>
      <c r="F80">
        <v>1.2</v>
      </c>
      <c r="G80">
        <v>5.62E-2</v>
      </c>
      <c r="H80">
        <f t="shared" si="3"/>
        <v>56.2</v>
      </c>
      <c r="I80">
        <v>5.1700000000000003E-2</v>
      </c>
      <c r="J80">
        <f t="shared" si="4"/>
        <v>51.7</v>
      </c>
      <c r="K80">
        <f t="shared" si="5"/>
        <v>1.0870406189555126</v>
      </c>
      <c r="L80">
        <v>5.9700000000000003E-2</v>
      </c>
      <c r="M80">
        <v>5.5300000000000002E-2</v>
      </c>
      <c r="N80">
        <v>171.20359999999999</v>
      </c>
      <c r="O80">
        <v>0.90749999999999997</v>
      </c>
      <c r="P80">
        <v>6.5500000000000003E-2</v>
      </c>
      <c r="Q80">
        <v>276</v>
      </c>
      <c r="R80">
        <v>553</v>
      </c>
      <c r="S80">
        <v>30.963799999999999</v>
      </c>
      <c r="T80">
        <v>5.1700000000000003E-2</v>
      </c>
      <c r="U80">
        <v>1.0795999999999999</v>
      </c>
      <c r="V80">
        <v>0.92630000000000001</v>
      </c>
      <c r="W80">
        <v>0.96430000000000005</v>
      </c>
    </row>
    <row r="81" spans="1:23" x14ac:dyDescent="0.25">
      <c r="A81">
        <v>90</v>
      </c>
      <c r="B81">
        <v>2.3999999999999998E-3</v>
      </c>
      <c r="C81">
        <v>0</v>
      </c>
      <c r="D81">
        <v>0.17910000000000001</v>
      </c>
      <c r="E81">
        <v>1.0787</v>
      </c>
      <c r="F81">
        <v>1.2021999999999999</v>
      </c>
      <c r="G81">
        <v>4.7199999999999999E-2</v>
      </c>
      <c r="H81">
        <f t="shared" si="3"/>
        <v>47.199999999999996</v>
      </c>
      <c r="I81">
        <v>5.62E-2</v>
      </c>
      <c r="J81">
        <f t="shared" si="4"/>
        <v>56.2</v>
      </c>
      <c r="K81">
        <f t="shared" si="5"/>
        <v>0.83985765124555145</v>
      </c>
      <c r="L81">
        <v>6.0699999999999997E-2</v>
      </c>
      <c r="M81">
        <v>4.9500000000000002E-2</v>
      </c>
      <c r="N81">
        <v>80.089100000000002</v>
      </c>
      <c r="O81">
        <v>0.92390000000000005</v>
      </c>
      <c r="P81">
        <v>6.3E-2</v>
      </c>
      <c r="Q81">
        <v>483</v>
      </c>
      <c r="R81">
        <v>559</v>
      </c>
      <c r="S81">
        <v>55.1755</v>
      </c>
      <c r="T81">
        <v>4.7199999999999999E-2</v>
      </c>
      <c r="U81">
        <v>1.2252000000000001</v>
      </c>
      <c r="V81">
        <v>0.81620000000000004</v>
      </c>
      <c r="W81">
        <v>0.96689999999999998</v>
      </c>
    </row>
    <row r="82" spans="1:23" x14ac:dyDescent="0.25">
      <c r="A82">
        <v>91</v>
      </c>
      <c r="B82">
        <v>1.6999999999999999E-3</v>
      </c>
      <c r="C82">
        <v>0</v>
      </c>
      <c r="D82">
        <v>0.15659999999999999</v>
      </c>
      <c r="E82">
        <v>3.2292000000000001</v>
      </c>
      <c r="F82">
        <v>1.2270000000000001</v>
      </c>
      <c r="G82">
        <v>5.3900000000000003E-2</v>
      </c>
      <c r="H82">
        <f t="shared" si="3"/>
        <v>53.900000000000006</v>
      </c>
      <c r="I82">
        <v>3.8199999999999998E-2</v>
      </c>
      <c r="J82">
        <f t="shared" si="4"/>
        <v>38.199999999999996</v>
      </c>
      <c r="K82">
        <f t="shared" si="5"/>
        <v>1.4109947643979062</v>
      </c>
      <c r="L82">
        <v>5.6899999999999999E-2</v>
      </c>
      <c r="M82">
        <v>3.7900000000000003E-2</v>
      </c>
      <c r="N82">
        <v>175.3477</v>
      </c>
      <c r="O82">
        <v>0.86660000000000004</v>
      </c>
      <c r="P82">
        <v>5.6399999999999999E-2</v>
      </c>
      <c r="Q82">
        <v>1437</v>
      </c>
      <c r="R82">
        <v>561</v>
      </c>
      <c r="S82">
        <v>23.4986</v>
      </c>
      <c r="T82">
        <v>3.8199999999999998E-2</v>
      </c>
      <c r="U82">
        <v>1.5005999999999999</v>
      </c>
      <c r="V82">
        <v>0.66639999999999999</v>
      </c>
      <c r="W82">
        <v>0.94630000000000003</v>
      </c>
    </row>
    <row r="83" spans="1:23" x14ac:dyDescent="0.25">
      <c r="A83">
        <v>92</v>
      </c>
      <c r="B83">
        <v>1.1000000000000001E-3</v>
      </c>
      <c r="C83">
        <v>0</v>
      </c>
      <c r="D83">
        <v>0.13039999999999999</v>
      </c>
      <c r="E83">
        <v>2.2000000000000001E-3</v>
      </c>
      <c r="F83">
        <v>1.2403999999999999</v>
      </c>
      <c r="G83">
        <v>3.15E-2</v>
      </c>
      <c r="H83">
        <f t="shared" si="3"/>
        <v>31.5</v>
      </c>
      <c r="I83">
        <v>4.0399999999999998E-2</v>
      </c>
      <c r="J83">
        <f t="shared" si="4"/>
        <v>40.4</v>
      </c>
      <c r="K83">
        <f t="shared" si="5"/>
        <v>0.77970297029702973</v>
      </c>
      <c r="L83">
        <v>4.1599999999999998E-2</v>
      </c>
      <c r="M83">
        <v>3.2800000000000003E-2</v>
      </c>
      <c r="N83">
        <v>89.933400000000006</v>
      </c>
      <c r="O83">
        <v>0.79079999999999995</v>
      </c>
      <c r="P83">
        <v>4.5499999999999999E-2</v>
      </c>
      <c r="Q83">
        <v>1</v>
      </c>
      <c r="R83">
        <v>552</v>
      </c>
      <c r="S83">
        <v>122.90519999999999</v>
      </c>
      <c r="T83">
        <v>3.15E-2</v>
      </c>
      <c r="U83">
        <v>1.2672000000000001</v>
      </c>
      <c r="V83">
        <v>0.78910000000000002</v>
      </c>
      <c r="W83">
        <v>0.91379999999999995</v>
      </c>
    </row>
    <row r="84" spans="1:23" x14ac:dyDescent="0.25">
      <c r="A84">
        <v>93</v>
      </c>
      <c r="B84">
        <v>3.5999999999999999E-3</v>
      </c>
      <c r="C84">
        <v>0</v>
      </c>
      <c r="D84">
        <v>0.2278</v>
      </c>
      <c r="E84">
        <v>0.60450000000000004</v>
      </c>
      <c r="F84">
        <v>1.2539</v>
      </c>
      <c r="G84">
        <v>6.5199999999999994E-2</v>
      </c>
      <c r="H84">
        <f t="shared" si="3"/>
        <v>65.199999999999989</v>
      </c>
      <c r="I84">
        <v>6.5199999999999994E-2</v>
      </c>
      <c r="J84">
        <f t="shared" si="4"/>
        <v>65.199999999999989</v>
      </c>
      <c r="K84">
        <f t="shared" si="5"/>
        <v>1</v>
      </c>
      <c r="L84">
        <v>7.0599999999999996E-2</v>
      </c>
      <c r="M84">
        <v>6.4799999999999996E-2</v>
      </c>
      <c r="N84">
        <v>48.605800000000002</v>
      </c>
      <c r="O84">
        <v>0.86970000000000003</v>
      </c>
      <c r="P84">
        <v>7.9500000000000001E-2</v>
      </c>
      <c r="Q84">
        <v>270</v>
      </c>
      <c r="R84">
        <v>584</v>
      </c>
      <c r="S84">
        <v>47.290599999999998</v>
      </c>
      <c r="T84">
        <v>6.3700000000000007E-2</v>
      </c>
      <c r="U84">
        <v>1.0891999999999999</v>
      </c>
      <c r="V84">
        <v>0.91810000000000003</v>
      </c>
      <c r="W84">
        <v>0.95179999999999998</v>
      </c>
    </row>
    <row r="85" spans="1:23" x14ac:dyDescent="0.25">
      <c r="A85">
        <v>94</v>
      </c>
      <c r="B85">
        <v>1.1999999999999999E-3</v>
      </c>
      <c r="C85">
        <v>0</v>
      </c>
      <c r="D85">
        <v>0.13039999999999999</v>
      </c>
      <c r="E85">
        <v>1.7101</v>
      </c>
      <c r="F85">
        <v>1.2562</v>
      </c>
      <c r="G85">
        <v>4.2700000000000002E-2</v>
      </c>
      <c r="H85">
        <f t="shared" si="3"/>
        <v>42.7</v>
      </c>
      <c r="I85">
        <v>3.3700000000000001E-2</v>
      </c>
      <c r="J85">
        <f t="shared" si="4"/>
        <v>33.700000000000003</v>
      </c>
      <c r="K85">
        <f t="shared" si="5"/>
        <v>1.2670623145400592</v>
      </c>
      <c r="L85">
        <v>4.5199999999999997E-2</v>
      </c>
      <c r="M85">
        <v>3.2800000000000003E-2</v>
      </c>
      <c r="N85">
        <v>159.5471</v>
      </c>
      <c r="O85">
        <v>0.86170000000000002</v>
      </c>
      <c r="P85">
        <v>4.8599999999999997E-2</v>
      </c>
      <c r="Q85">
        <v>762</v>
      </c>
      <c r="R85">
        <v>561</v>
      </c>
      <c r="S85">
        <v>146.3099</v>
      </c>
      <c r="T85">
        <v>3.32E-2</v>
      </c>
      <c r="U85">
        <v>1.3773</v>
      </c>
      <c r="V85">
        <v>0.72609999999999997</v>
      </c>
      <c r="W85">
        <v>0.93149999999999999</v>
      </c>
    </row>
    <row r="86" spans="1:23" x14ac:dyDescent="0.25">
      <c r="A86">
        <v>95</v>
      </c>
      <c r="B86">
        <v>2E-3</v>
      </c>
      <c r="C86">
        <v>0</v>
      </c>
      <c r="D86">
        <v>0.1696</v>
      </c>
      <c r="E86">
        <v>3.1393</v>
      </c>
      <c r="F86">
        <v>1.2606999999999999</v>
      </c>
      <c r="G86">
        <v>5.3900000000000003E-2</v>
      </c>
      <c r="H86">
        <f t="shared" si="3"/>
        <v>53.900000000000006</v>
      </c>
      <c r="I86">
        <v>4.2700000000000002E-2</v>
      </c>
      <c r="J86">
        <f t="shared" si="4"/>
        <v>42.7</v>
      </c>
      <c r="K86">
        <f t="shared" si="5"/>
        <v>1.2622950819672132</v>
      </c>
      <c r="L86">
        <v>5.6500000000000002E-2</v>
      </c>
      <c r="M86">
        <v>4.5499999999999999E-2</v>
      </c>
      <c r="N86">
        <v>169.6311</v>
      </c>
      <c r="O86">
        <v>0.88280000000000003</v>
      </c>
      <c r="P86">
        <v>6.0699999999999997E-2</v>
      </c>
      <c r="Q86">
        <v>1399</v>
      </c>
      <c r="R86">
        <v>562</v>
      </c>
      <c r="S86">
        <v>141.00899999999999</v>
      </c>
      <c r="T86">
        <v>4.2700000000000002E-2</v>
      </c>
      <c r="U86">
        <v>1.2418</v>
      </c>
      <c r="V86">
        <v>0.80530000000000002</v>
      </c>
      <c r="W86">
        <v>0.95809999999999995</v>
      </c>
    </row>
    <row r="87" spans="1:23" x14ac:dyDescent="0.25">
      <c r="A87">
        <v>96</v>
      </c>
      <c r="B87">
        <v>1.1000000000000001E-3</v>
      </c>
      <c r="C87">
        <v>0</v>
      </c>
      <c r="D87">
        <v>0.1241</v>
      </c>
      <c r="E87">
        <v>2.5392999999999999</v>
      </c>
      <c r="F87">
        <v>1.3056000000000001</v>
      </c>
      <c r="G87">
        <v>3.5999999999999997E-2</v>
      </c>
      <c r="H87">
        <f t="shared" si="3"/>
        <v>36</v>
      </c>
      <c r="I87">
        <v>3.5999999999999997E-2</v>
      </c>
      <c r="J87">
        <f t="shared" si="4"/>
        <v>36</v>
      </c>
      <c r="K87">
        <f t="shared" si="5"/>
        <v>1</v>
      </c>
      <c r="L87">
        <v>4.0599999999999997E-2</v>
      </c>
      <c r="M87">
        <v>3.4500000000000003E-2</v>
      </c>
      <c r="N87">
        <v>51.975900000000003</v>
      </c>
      <c r="O87">
        <v>0.89859999999999995</v>
      </c>
      <c r="P87">
        <v>4.4900000000000002E-2</v>
      </c>
      <c r="Q87">
        <v>1130</v>
      </c>
      <c r="R87">
        <v>595</v>
      </c>
      <c r="S87">
        <v>36.869900000000001</v>
      </c>
      <c r="T87">
        <v>3.5999999999999997E-2</v>
      </c>
      <c r="U87">
        <v>1.1744000000000001</v>
      </c>
      <c r="V87">
        <v>0.85150000000000003</v>
      </c>
      <c r="W87">
        <v>0.95609999999999995</v>
      </c>
    </row>
    <row r="88" spans="1:23" x14ac:dyDescent="0.25">
      <c r="A88">
        <v>97</v>
      </c>
      <c r="B88">
        <v>2.2000000000000001E-3</v>
      </c>
      <c r="C88">
        <v>0</v>
      </c>
      <c r="D88">
        <v>0.1759</v>
      </c>
      <c r="E88">
        <v>0.42020000000000002</v>
      </c>
      <c r="F88">
        <v>1.3371</v>
      </c>
      <c r="G88">
        <v>5.1700000000000003E-2</v>
      </c>
      <c r="H88">
        <f t="shared" si="3"/>
        <v>51.7</v>
      </c>
      <c r="I88">
        <v>4.9399999999999999E-2</v>
      </c>
      <c r="J88">
        <f t="shared" si="4"/>
        <v>49.4</v>
      </c>
      <c r="K88">
        <f t="shared" si="5"/>
        <v>1.0465587044534415</v>
      </c>
      <c r="L88">
        <v>5.4199999999999998E-2</v>
      </c>
      <c r="M88">
        <v>5.0500000000000003E-2</v>
      </c>
      <c r="N88">
        <v>155.1891</v>
      </c>
      <c r="O88">
        <v>0.87350000000000005</v>
      </c>
      <c r="P88">
        <v>6.2199999999999998E-2</v>
      </c>
      <c r="Q88">
        <v>190</v>
      </c>
      <c r="R88">
        <v>596</v>
      </c>
      <c r="S88">
        <v>130.60130000000001</v>
      </c>
      <c r="T88">
        <v>4.8599999999999997E-2</v>
      </c>
      <c r="U88">
        <v>1.0721000000000001</v>
      </c>
      <c r="V88">
        <v>0.93279999999999996</v>
      </c>
      <c r="W88">
        <v>0.94350000000000001</v>
      </c>
    </row>
    <row r="89" spans="1:23" x14ac:dyDescent="0.25">
      <c r="A89">
        <v>98</v>
      </c>
      <c r="B89">
        <v>1.4E-3</v>
      </c>
      <c r="C89">
        <v>0</v>
      </c>
      <c r="D89">
        <v>0.1376</v>
      </c>
      <c r="E89">
        <v>1.0875999999999999</v>
      </c>
      <c r="F89">
        <v>1.3617999999999999</v>
      </c>
      <c r="G89">
        <v>3.5999999999999997E-2</v>
      </c>
      <c r="H89">
        <f t="shared" si="3"/>
        <v>36</v>
      </c>
      <c r="I89">
        <v>4.2700000000000002E-2</v>
      </c>
      <c r="J89">
        <f t="shared" si="4"/>
        <v>42.7</v>
      </c>
      <c r="K89">
        <f t="shared" si="5"/>
        <v>0.84309133489461352</v>
      </c>
      <c r="L89">
        <v>4.5199999999999997E-2</v>
      </c>
      <c r="M89">
        <v>3.8899999999999997E-2</v>
      </c>
      <c r="N89">
        <v>98.475300000000004</v>
      </c>
      <c r="O89">
        <v>0.91559999999999997</v>
      </c>
      <c r="P89">
        <v>4.99E-2</v>
      </c>
      <c r="Q89">
        <v>486</v>
      </c>
      <c r="R89">
        <v>606</v>
      </c>
      <c r="S89">
        <v>125.8377</v>
      </c>
      <c r="T89">
        <v>3.5999999999999997E-2</v>
      </c>
      <c r="U89">
        <v>1.1620999999999999</v>
      </c>
      <c r="V89">
        <v>0.86050000000000004</v>
      </c>
      <c r="W89">
        <v>0.96299999999999997</v>
      </c>
    </row>
    <row r="90" spans="1:23" x14ac:dyDescent="0.25">
      <c r="A90">
        <v>99</v>
      </c>
      <c r="B90">
        <v>2.3E-3</v>
      </c>
      <c r="C90">
        <v>0</v>
      </c>
      <c r="D90">
        <v>0.17960000000000001</v>
      </c>
      <c r="E90">
        <v>2.6292</v>
      </c>
      <c r="F90">
        <v>1.3663000000000001</v>
      </c>
      <c r="G90">
        <v>4.9399999999999999E-2</v>
      </c>
      <c r="H90">
        <f t="shared" si="3"/>
        <v>49.4</v>
      </c>
      <c r="I90">
        <v>5.62E-2</v>
      </c>
      <c r="J90">
        <f t="shared" si="4"/>
        <v>56.2</v>
      </c>
      <c r="K90">
        <f t="shared" si="5"/>
        <v>0.87900355871886116</v>
      </c>
      <c r="L90">
        <v>5.8700000000000002E-2</v>
      </c>
      <c r="M90">
        <v>5.0799999999999998E-2</v>
      </c>
      <c r="N90">
        <v>92.492800000000003</v>
      </c>
      <c r="O90">
        <v>0.91239999999999999</v>
      </c>
      <c r="P90">
        <v>6.2399999999999997E-2</v>
      </c>
      <c r="Q90">
        <v>1174</v>
      </c>
      <c r="R90">
        <v>608</v>
      </c>
      <c r="S90">
        <v>120.2564</v>
      </c>
      <c r="T90">
        <v>4.9399999999999999E-2</v>
      </c>
      <c r="U90">
        <v>1.1559999999999999</v>
      </c>
      <c r="V90">
        <v>0.86499999999999999</v>
      </c>
      <c r="W90">
        <v>0.95469999999999999</v>
      </c>
    </row>
    <row r="91" spans="1:23" x14ac:dyDescent="0.25">
      <c r="A91">
        <v>100</v>
      </c>
      <c r="B91">
        <v>2.3999999999999998E-3</v>
      </c>
      <c r="C91">
        <v>0</v>
      </c>
      <c r="D91">
        <v>0.1802</v>
      </c>
      <c r="E91">
        <v>1.6359999999999999</v>
      </c>
      <c r="F91">
        <v>1.3797999999999999</v>
      </c>
      <c r="G91">
        <v>5.1700000000000003E-2</v>
      </c>
      <c r="H91">
        <f t="shared" si="3"/>
        <v>51.7</v>
      </c>
      <c r="I91">
        <v>5.62E-2</v>
      </c>
      <c r="J91">
        <f t="shared" si="4"/>
        <v>56.2</v>
      </c>
      <c r="K91">
        <f t="shared" si="5"/>
        <v>0.91992882562277578</v>
      </c>
      <c r="L91">
        <v>5.9499999999999997E-2</v>
      </c>
      <c r="M91">
        <v>5.0500000000000003E-2</v>
      </c>
      <c r="N91">
        <v>60.507899999999999</v>
      </c>
      <c r="O91">
        <v>0.91279999999999994</v>
      </c>
      <c r="P91">
        <v>6.3899999999999998E-2</v>
      </c>
      <c r="Q91">
        <v>728</v>
      </c>
      <c r="R91">
        <v>635</v>
      </c>
      <c r="S91">
        <v>39.289400000000001</v>
      </c>
      <c r="T91">
        <v>5.1700000000000003E-2</v>
      </c>
      <c r="U91">
        <v>1.1778</v>
      </c>
      <c r="V91">
        <v>0.84899999999999998</v>
      </c>
      <c r="W91">
        <v>0.95309999999999995</v>
      </c>
    </row>
    <row r="92" spans="1:23" x14ac:dyDescent="0.25">
      <c r="A92">
        <v>101</v>
      </c>
      <c r="B92">
        <v>1.5E-3</v>
      </c>
      <c r="C92">
        <v>0</v>
      </c>
      <c r="D92">
        <v>0.14899999999999999</v>
      </c>
      <c r="E92">
        <v>0.37980000000000003</v>
      </c>
      <c r="F92">
        <v>1.3865000000000001</v>
      </c>
      <c r="G92">
        <v>4.2700000000000002E-2</v>
      </c>
      <c r="H92">
        <f t="shared" si="3"/>
        <v>42.7</v>
      </c>
      <c r="I92">
        <v>4.4900000000000002E-2</v>
      </c>
      <c r="J92">
        <f t="shared" si="4"/>
        <v>44.900000000000006</v>
      </c>
      <c r="K92">
        <f t="shared" si="5"/>
        <v>0.95100222717149219</v>
      </c>
      <c r="L92">
        <v>4.7300000000000002E-2</v>
      </c>
      <c r="M92">
        <v>3.9800000000000002E-2</v>
      </c>
      <c r="N92">
        <v>69.220399999999998</v>
      </c>
      <c r="O92">
        <v>0.83799999999999997</v>
      </c>
      <c r="P92">
        <v>5.1200000000000002E-2</v>
      </c>
      <c r="Q92">
        <v>169</v>
      </c>
      <c r="R92">
        <v>633</v>
      </c>
      <c r="S92">
        <v>37.875</v>
      </c>
      <c r="T92">
        <v>3.9800000000000002E-2</v>
      </c>
      <c r="U92">
        <v>1.1882999999999999</v>
      </c>
      <c r="V92">
        <v>0.84150000000000003</v>
      </c>
      <c r="W92">
        <v>0.91559999999999997</v>
      </c>
    </row>
    <row r="93" spans="1:23" x14ac:dyDescent="0.25">
      <c r="A93">
        <v>102</v>
      </c>
      <c r="B93">
        <v>2.5999999999999999E-3</v>
      </c>
      <c r="C93">
        <v>0</v>
      </c>
      <c r="D93">
        <v>0.18940000000000001</v>
      </c>
      <c r="E93">
        <v>2.7056</v>
      </c>
      <c r="F93">
        <v>1.3977999999999999</v>
      </c>
      <c r="G93">
        <v>5.3900000000000003E-2</v>
      </c>
      <c r="H93">
        <f t="shared" si="3"/>
        <v>53.900000000000006</v>
      </c>
      <c r="I93">
        <v>5.3900000000000003E-2</v>
      </c>
      <c r="J93">
        <f t="shared" si="4"/>
        <v>53.900000000000006</v>
      </c>
      <c r="K93">
        <f t="shared" si="5"/>
        <v>1</v>
      </c>
      <c r="L93">
        <v>5.8000000000000003E-2</v>
      </c>
      <c r="M93">
        <v>5.6800000000000003E-2</v>
      </c>
      <c r="N93">
        <v>20.630700000000001</v>
      </c>
      <c r="O93">
        <v>0.90569999999999995</v>
      </c>
      <c r="P93">
        <v>6.6100000000000006E-2</v>
      </c>
      <c r="Q93">
        <v>1204</v>
      </c>
      <c r="R93">
        <v>642</v>
      </c>
      <c r="S93">
        <v>35.311199999999999</v>
      </c>
      <c r="T93">
        <v>5.3900000000000003E-2</v>
      </c>
      <c r="U93">
        <v>1.0210999999999999</v>
      </c>
      <c r="V93">
        <v>0.97940000000000005</v>
      </c>
      <c r="W93">
        <v>0.96150000000000002</v>
      </c>
    </row>
    <row r="94" spans="1:23" x14ac:dyDescent="0.25">
      <c r="A94">
        <v>103</v>
      </c>
      <c r="B94">
        <v>1.8E-3</v>
      </c>
      <c r="C94">
        <v>0</v>
      </c>
      <c r="D94">
        <v>0.15479999999999999</v>
      </c>
      <c r="E94">
        <v>2.9079000000000002</v>
      </c>
      <c r="F94">
        <v>1.4179999999999999</v>
      </c>
      <c r="G94">
        <v>4.9399999999999999E-2</v>
      </c>
      <c r="H94">
        <f t="shared" si="3"/>
        <v>49.4</v>
      </c>
      <c r="I94">
        <v>4.0399999999999998E-2</v>
      </c>
      <c r="J94">
        <f t="shared" si="4"/>
        <v>40.4</v>
      </c>
      <c r="K94">
        <f t="shared" si="5"/>
        <v>1.2227722772277227</v>
      </c>
      <c r="L94">
        <v>5.1900000000000002E-2</v>
      </c>
      <c r="M94">
        <v>4.3400000000000001E-2</v>
      </c>
      <c r="N94">
        <v>176.29490000000001</v>
      </c>
      <c r="O94">
        <v>0.92730000000000001</v>
      </c>
      <c r="P94">
        <v>5.3600000000000002E-2</v>
      </c>
      <c r="Q94">
        <v>1294</v>
      </c>
      <c r="R94">
        <v>635</v>
      </c>
      <c r="S94">
        <v>146.9761</v>
      </c>
      <c r="T94">
        <v>4.0399999999999998E-2</v>
      </c>
      <c r="U94">
        <v>1.1970000000000001</v>
      </c>
      <c r="V94">
        <v>0.83540000000000003</v>
      </c>
      <c r="W94">
        <v>0.96289999999999998</v>
      </c>
    </row>
    <row r="95" spans="1:23" x14ac:dyDescent="0.25">
      <c r="A95">
        <v>104</v>
      </c>
      <c r="B95">
        <v>1.1999999999999999E-3</v>
      </c>
      <c r="C95">
        <v>0</v>
      </c>
      <c r="D95">
        <v>0.13250000000000001</v>
      </c>
      <c r="E95">
        <v>2.9596</v>
      </c>
      <c r="F95">
        <v>1.4179999999999999</v>
      </c>
      <c r="G95">
        <v>4.0399999999999998E-2</v>
      </c>
      <c r="H95">
        <f t="shared" si="3"/>
        <v>40.4</v>
      </c>
      <c r="I95">
        <v>3.3700000000000001E-2</v>
      </c>
      <c r="J95">
        <f t="shared" si="4"/>
        <v>33.700000000000003</v>
      </c>
      <c r="K95">
        <f t="shared" si="5"/>
        <v>1.1988130563798218</v>
      </c>
      <c r="L95">
        <v>4.2999999999999997E-2</v>
      </c>
      <c r="M95">
        <v>3.6499999999999998E-2</v>
      </c>
      <c r="N95">
        <v>17.5962</v>
      </c>
      <c r="O95">
        <v>0.88170000000000004</v>
      </c>
      <c r="P95">
        <v>4.8599999999999997E-2</v>
      </c>
      <c r="Q95">
        <v>1317</v>
      </c>
      <c r="R95">
        <v>644</v>
      </c>
      <c r="S95">
        <v>33.690100000000001</v>
      </c>
      <c r="T95">
        <v>3.3700000000000001E-2</v>
      </c>
      <c r="U95">
        <v>1.1762999999999999</v>
      </c>
      <c r="V95">
        <v>0.85009999999999997</v>
      </c>
      <c r="W95">
        <v>0.96630000000000005</v>
      </c>
    </row>
    <row r="96" spans="1:23" x14ac:dyDescent="0.25">
      <c r="A96">
        <v>105</v>
      </c>
      <c r="B96">
        <v>1.8E-3</v>
      </c>
      <c r="C96">
        <v>0</v>
      </c>
      <c r="D96">
        <v>0.16170000000000001</v>
      </c>
      <c r="E96">
        <v>2.0225</v>
      </c>
      <c r="F96">
        <v>1.4247000000000001</v>
      </c>
      <c r="G96">
        <v>5.8400000000000001E-2</v>
      </c>
      <c r="H96">
        <f t="shared" si="3"/>
        <v>58.4</v>
      </c>
      <c r="I96">
        <v>3.8199999999999998E-2</v>
      </c>
      <c r="J96">
        <f t="shared" si="4"/>
        <v>38.199999999999996</v>
      </c>
      <c r="K96">
        <f t="shared" si="5"/>
        <v>1.5287958115183247</v>
      </c>
      <c r="L96">
        <v>6.0900000000000003E-2</v>
      </c>
      <c r="M96">
        <v>3.8399999999999997E-2</v>
      </c>
      <c r="N96">
        <v>170.12629999999999</v>
      </c>
      <c r="O96">
        <v>0.88139999999999996</v>
      </c>
      <c r="P96">
        <v>6.1800000000000001E-2</v>
      </c>
      <c r="Q96">
        <v>900</v>
      </c>
      <c r="R96">
        <v>637</v>
      </c>
      <c r="S96">
        <v>160.90649999999999</v>
      </c>
      <c r="T96">
        <v>3.7999999999999999E-2</v>
      </c>
      <c r="U96">
        <v>1.5865</v>
      </c>
      <c r="V96">
        <v>0.63029999999999997</v>
      </c>
      <c r="W96">
        <v>0.95030000000000003</v>
      </c>
    </row>
    <row r="97" spans="1:23" x14ac:dyDescent="0.25">
      <c r="A97">
        <v>106</v>
      </c>
      <c r="B97">
        <v>1.1999999999999999E-3</v>
      </c>
      <c r="C97">
        <v>0</v>
      </c>
      <c r="D97">
        <v>0.13619999999999999</v>
      </c>
      <c r="E97">
        <v>1.4403999999999999</v>
      </c>
      <c r="F97">
        <v>1.4315</v>
      </c>
      <c r="G97">
        <v>4.7199999999999999E-2</v>
      </c>
      <c r="H97">
        <f t="shared" si="3"/>
        <v>47.199999999999996</v>
      </c>
      <c r="I97">
        <v>2.92E-2</v>
      </c>
      <c r="J97">
        <f t="shared" si="4"/>
        <v>29.2</v>
      </c>
      <c r="K97">
        <f t="shared" si="5"/>
        <v>1.6164383561643834</v>
      </c>
      <c r="L97">
        <v>4.9099999999999998E-2</v>
      </c>
      <c r="M97">
        <v>3.1800000000000002E-2</v>
      </c>
      <c r="N97">
        <v>179.05109999999999</v>
      </c>
      <c r="O97">
        <v>0.83079999999999998</v>
      </c>
      <c r="P97">
        <v>4.9299999999999997E-2</v>
      </c>
      <c r="Q97">
        <v>641</v>
      </c>
      <c r="R97">
        <v>648</v>
      </c>
      <c r="S97">
        <v>24.227699999999999</v>
      </c>
      <c r="T97">
        <v>2.92E-2</v>
      </c>
      <c r="U97">
        <v>1.5431999999999999</v>
      </c>
      <c r="V97">
        <v>0.64800000000000002</v>
      </c>
      <c r="W97">
        <v>0.95109999999999995</v>
      </c>
    </row>
    <row r="98" spans="1:23" x14ac:dyDescent="0.25">
      <c r="A98">
        <v>107</v>
      </c>
      <c r="B98">
        <v>2.0999999999999999E-3</v>
      </c>
      <c r="C98">
        <v>0</v>
      </c>
      <c r="D98">
        <v>0.1714</v>
      </c>
      <c r="E98">
        <v>0.88759999999999994</v>
      </c>
      <c r="F98">
        <v>1.4583999999999999</v>
      </c>
      <c r="G98">
        <v>5.3900000000000003E-2</v>
      </c>
      <c r="H98">
        <f t="shared" si="3"/>
        <v>53.900000000000006</v>
      </c>
      <c r="I98">
        <v>4.4900000000000002E-2</v>
      </c>
      <c r="J98">
        <f t="shared" si="4"/>
        <v>44.900000000000006</v>
      </c>
      <c r="K98">
        <f t="shared" si="5"/>
        <v>1.200445434298441</v>
      </c>
      <c r="L98">
        <v>5.6300000000000003E-2</v>
      </c>
      <c r="M98">
        <v>4.7100000000000003E-2</v>
      </c>
      <c r="N98">
        <v>11.1302</v>
      </c>
      <c r="O98">
        <v>0.88970000000000005</v>
      </c>
      <c r="P98">
        <v>6.3E-2</v>
      </c>
      <c r="Q98">
        <v>396</v>
      </c>
      <c r="R98">
        <v>667</v>
      </c>
      <c r="S98">
        <v>34.8245</v>
      </c>
      <c r="T98">
        <v>4.4900000000000002E-2</v>
      </c>
      <c r="U98">
        <v>1.1955</v>
      </c>
      <c r="V98">
        <v>0.83650000000000002</v>
      </c>
      <c r="W98">
        <v>0.95589999999999997</v>
      </c>
    </row>
    <row r="99" spans="1:23" x14ac:dyDescent="0.25">
      <c r="A99">
        <v>108</v>
      </c>
      <c r="B99">
        <v>1.4E-3</v>
      </c>
      <c r="C99">
        <v>0</v>
      </c>
      <c r="D99">
        <v>0.14019999999999999</v>
      </c>
      <c r="E99">
        <v>3.2021999999999999</v>
      </c>
      <c r="F99">
        <v>1.4652000000000001</v>
      </c>
      <c r="G99">
        <v>4.2700000000000002E-2</v>
      </c>
      <c r="H99">
        <f t="shared" si="3"/>
        <v>42.7</v>
      </c>
      <c r="I99">
        <v>3.5999999999999997E-2</v>
      </c>
      <c r="J99">
        <f t="shared" si="4"/>
        <v>36</v>
      </c>
      <c r="K99">
        <f t="shared" si="5"/>
        <v>1.1861111111111111</v>
      </c>
      <c r="L99">
        <v>4.5499999999999999E-2</v>
      </c>
      <c r="M99">
        <v>3.9E-2</v>
      </c>
      <c r="N99">
        <v>174.61359999999999</v>
      </c>
      <c r="O99">
        <v>0.89119999999999999</v>
      </c>
      <c r="P99">
        <v>4.9500000000000002E-2</v>
      </c>
      <c r="Q99">
        <v>1425</v>
      </c>
      <c r="R99">
        <v>654</v>
      </c>
      <c r="S99">
        <v>140.5275</v>
      </c>
      <c r="T99">
        <v>3.5999999999999997E-2</v>
      </c>
      <c r="U99">
        <v>1.1675</v>
      </c>
      <c r="V99">
        <v>0.85660000000000003</v>
      </c>
      <c r="W99">
        <v>0.96</v>
      </c>
    </row>
    <row r="100" spans="1:23" x14ac:dyDescent="0.25">
      <c r="A100">
        <v>109</v>
      </c>
      <c r="B100">
        <v>2.0999999999999999E-3</v>
      </c>
      <c r="C100">
        <v>0</v>
      </c>
      <c r="D100">
        <v>0.183</v>
      </c>
      <c r="E100">
        <v>2.2225000000000001</v>
      </c>
      <c r="F100">
        <v>1.4831000000000001</v>
      </c>
      <c r="G100">
        <v>6.2899999999999998E-2</v>
      </c>
      <c r="H100">
        <f t="shared" si="3"/>
        <v>62.9</v>
      </c>
      <c r="I100">
        <v>3.8199999999999998E-2</v>
      </c>
      <c r="J100">
        <f t="shared" si="4"/>
        <v>38.199999999999996</v>
      </c>
      <c r="K100">
        <f t="shared" si="5"/>
        <v>1.6465968586387436</v>
      </c>
      <c r="L100">
        <v>6.8400000000000002E-2</v>
      </c>
      <c r="M100">
        <v>3.9399999999999998E-2</v>
      </c>
      <c r="N100">
        <v>175.98140000000001</v>
      </c>
      <c r="O100">
        <v>0.79359999999999997</v>
      </c>
      <c r="P100">
        <v>6.7599999999999993E-2</v>
      </c>
      <c r="Q100">
        <v>989</v>
      </c>
      <c r="R100">
        <v>663</v>
      </c>
      <c r="S100">
        <v>158.5523</v>
      </c>
      <c r="T100">
        <v>3.8199999999999998E-2</v>
      </c>
      <c r="U100">
        <v>1.7347999999999999</v>
      </c>
      <c r="V100">
        <v>0.57650000000000001</v>
      </c>
      <c r="W100">
        <v>0.94579999999999997</v>
      </c>
    </row>
    <row r="101" spans="1:23" x14ac:dyDescent="0.25">
      <c r="A101">
        <v>110</v>
      </c>
      <c r="B101">
        <v>1.8E-3</v>
      </c>
      <c r="C101">
        <v>0</v>
      </c>
      <c r="D101">
        <v>0.16</v>
      </c>
      <c r="E101">
        <v>1.3551</v>
      </c>
      <c r="F101">
        <v>1.4899</v>
      </c>
      <c r="G101">
        <v>5.1700000000000003E-2</v>
      </c>
      <c r="H101">
        <f t="shared" si="3"/>
        <v>51.7</v>
      </c>
      <c r="I101">
        <v>3.8199999999999998E-2</v>
      </c>
      <c r="J101">
        <f t="shared" si="4"/>
        <v>38.199999999999996</v>
      </c>
      <c r="K101">
        <f t="shared" si="5"/>
        <v>1.3534031413612568</v>
      </c>
      <c r="L101">
        <v>5.7200000000000001E-2</v>
      </c>
      <c r="M101">
        <v>3.9E-2</v>
      </c>
      <c r="N101">
        <v>173.61949999999999</v>
      </c>
      <c r="O101">
        <v>0.85980000000000001</v>
      </c>
      <c r="P101">
        <v>5.8599999999999999E-2</v>
      </c>
      <c r="Q101">
        <v>604</v>
      </c>
      <c r="R101">
        <v>664</v>
      </c>
      <c r="S101">
        <v>147.52879999999999</v>
      </c>
      <c r="T101">
        <v>3.7699999999999997E-2</v>
      </c>
      <c r="U101">
        <v>1.4639</v>
      </c>
      <c r="V101">
        <v>0.68310000000000004</v>
      </c>
      <c r="W101">
        <v>0.95589999999999997</v>
      </c>
    </row>
    <row r="102" spans="1:23" x14ac:dyDescent="0.25">
      <c r="A102">
        <v>111</v>
      </c>
      <c r="B102">
        <v>2.0999999999999999E-3</v>
      </c>
      <c r="C102">
        <v>0</v>
      </c>
      <c r="D102">
        <v>0.17480000000000001</v>
      </c>
      <c r="E102">
        <v>2.2000000000000001E-3</v>
      </c>
      <c r="F102">
        <v>1.4944</v>
      </c>
      <c r="G102">
        <v>4.7199999999999999E-2</v>
      </c>
      <c r="H102">
        <f t="shared" si="3"/>
        <v>47.199999999999996</v>
      </c>
      <c r="I102">
        <v>4.9399999999999999E-2</v>
      </c>
      <c r="J102">
        <f t="shared" si="4"/>
        <v>49.4</v>
      </c>
      <c r="K102">
        <f t="shared" si="5"/>
        <v>0.95546558704453433</v>
      </c>
      <c r="L102">
        <v>5.3999999999999999E-2</v>
      </c>
      <c r="M102">
        <v>5.0200000000000002E-2</v>
      </c>
      <c r="N102">
        <v>82.3934</v>
      </c>
      <c r="O102">
        <v>0.87609999999999999</v>
      </c>
      <c r="P102">
        <v>6.2E-2</v>
      </c>
      <c r="Q102">
        <v>1</v>
      </c>
      <c r="R102">
        <v>686</v>
      </c>
      <c r="S102">
        <v>43.531199999999998</v>
      </c>
      <c r="T102">
        <v>4.7199999999999999E-2</v>
      </c>
      <c r="U102">
        <v>1.0750999999999999</v>
      </c>
      <c r="V102">
        <v>0.93010000000000004</v>
      </c>
      <c r="W102">
        <v>0.96460000000000001</v>
      </c>
    </row>
    <row r="103" spans="1:23" x14ac:dyDescent="0.25">
      <c r="A103">
        <v>112</v>
      </c>
      <c r="B103">
        <v>1.8E-3</v>
      </c>
      <c r="C103">
        <v>0</v>
      </c>
      <c r="D103">
        <v>0.1593</v>
      </c>
      <c r="E103">
        <v>1.1955</v>
      </c>
      <c r="F103">
        <v>1.5034000000000001</v>
      </c>
      <c r="G103">
        <v>4.0399999999999998E-2</v>
      </c>
      <c r="H103">
        <f t="shared" si="3"/>
        <v>40.4</v>
      </c>
      <c r="I103">
        <v>5.1700000000000003E-2</v>
      </c>
      <c r="J103">
        <f t="shared" si="4"/>
        <v>51.7</v>
      </c>
      <c r="K103">
        <f t="shared" si="5"/>
        <v>0.78143133462282388</v>
      </c>
      <c r="L103">
        <v>5.4899999999999997E-2</v>
      </c>
      <c r="M103">
        <v>4.2200000000000001E-2</v>
      </c>
      <c r="N103">
        <v>80.954999999999998</v>
      </c>
      <c r="O103">
        <v>0.90069999999999995</v>
      </c>
      <c r="P103">
        <v>5.67E-2</v>
      </c>
      <c r="Q103">
        <v>535</v>
      </c>
      <c r="R103">
        <v>692</v>
      </c>
      <c r="S103">
        <v>56.309899999999999</v>
      </c>
      <c r="T103">
        <v>4.0399999999999998E-2</v>
      </c>
      <c r="U103">
        <v>1.3008999999999999</v>
      </c>
      <c r="V103">
        <v>0.76870000000000005</v>
      </c>
      <c r="W103">
        <v>0.95620000000000005</v>
      </c>
    </row>
    <row r="104" spans="1:23" x14ac:dyDescent="0.25">
      <c r="A104">
        <v>113</v>
      </c>
      <c r="B104">
        <v>2.2000000000000001E-3</v>
      </c>
      <c r="C104">
        <v>0</v>
      </c>
      <c r="D104">
        <v>0.1754</v>
      </c>
      <c r="E104">
        <v>1.782</v>
      </c>
      <c r="F104">
        <v>1.5056</v>
      </c>
      <c r="G104">
        <v>5.3900000000000003E-2</v>
      </c>
      <c r="H104">
        <f t="shared" si="3"/>
        <v>53.900000000000006</v>
      </c>
      <c r="I104">
        <v>4.4900000000000002E-2</v>
      </c>
      <c r="J104">
        <f t="shared" si="4"/>
        <v>44.900000000000006</v>
      </c>
      <c r="K104">
        <f t="shared" si="5"/>
        <v>1.200445434298441</v>
      </c>
      <c r="L104">
        <v>5.7700000000000001E-2</v>
      </c>
      <c r="M104">
        <v>4.87E-2</v>
      </c>
      <c r="N104">
        <v>0.92989999999999995</v>
      </c>
      <c r="O104">
        <v>0.90169999999999995</v>
      </c>
      <c r="P104">
        <v>6.2399999999999997E-2</v>
      </c>
      <c r="Q104">
        <v>793</v>
      </c>
      <c r="R104">
        <v>687</v>
      </c>
      <c r="S104">
        <v>30.256399999999999</v>
      </c>
      <c r="T104">
        <v>4.4900000000000002E-2</v>
      </c>
      <c r="U104">
        <v>1.1839999999999999</v>
      </c>
      <c r="V104">
        <v>0.84460000000000002</v>
      </c>
      <c r="W104">
        <v>0.9657</v>
      </c>
    </row>
    <row r="105" spans="1:23" x14ac:dyDescent="0.25">
      <c r="A105">
        <v>114</v>
      </c>
      <c r="B105">
        <v>1.6999999999999999E-3</v>
      </c>
      <c r="C105">
        <v>0</v>
      </c>
      <c r="D105">
        <v>0.16059999999999999</v>
      </c>
      <c r="E105">
        <v>0.34379999999999999</v>
      </c>
      <c r="F105">
        <v>1.5124</v>
      </c>
      <c r="G105">
        <v>4.0399999999999998E-2</v>
      </c>
      <c r="H105">
        <f t="shared" si="3"/>
        <v>40.4</v>
      </c>
      <c r="I105">
        <v>5.1700000000000003E-2</v>
      </c>
      <c r="J105">
        <f t="shared" si="4"/>
        <v>51.7</v>
      </c>
      <c r="K105">
        <f t="shared" si="5"/>
        <v>0.78143133462282388</v>
      </c>
      <c r="L105">
        <v>5.5500000000000001E-2</v>
      </c>
      <c r="M105">
        <v>3.9300000000000002E-2</v>
      </c>
      <c r="N105">
        <v>76.252300000000005</v>
      </c>
      <c r="O105">
        <v>0.83430000000000004</v>
      </c>
      <c r="P105">
        <v>5.7599999999999998E-2</v>
      </c>
      <c r="Q105">
        <v>154</v>
      </c>
      <c r="R105">
        <v>695</v>
      </c>
      <c r="S105">
        <v>51.340200000000003</v>
      </c>
      <c r="T105">
        <v>3.8399999999999997E-2</v>
      </c>
      <c r="U105">
        <v>1.4133</v>
      </c>
      <c r="V105">
        <v>0.70760000000000001</v>
      </c>
      <c r="W105">
        <v>0.93520000000000003</v>
      </c>
    </row>
    <row r="106" spans="1:23" x14ac:dyDescent="0.25">
      <c r="A106">
        <v>115</v>
      </c>
      <c r="B106">
        <v>3.0999999999999999E-3</v>
      </c>
      <c r="C106">
        <v>0</v>
      </c>
      <c r="D106">
        <v>0.22220000000000001</v>
      </c>
      <c r="E106">
        <v>2.4337</v>
      </c>
      <c r="F106">
        <v>1.5124</v>
      </c>
      <c r="G106">
        <v>7.6399999999999996E-2</v>
      </c>
      <c r="H106">
        <f t="shared" si="3"/>
        <v>76.399999999999991</v>
      </c>
      <c r="I106">
        <v>4.7199999999999999E-2</v>
      </c>
      <c r="J106">
        <f t="shared" si="4"/>
        <v>47.199999999999996</v>
      </c>
      <c r="K106">
        <f t="shared" si="5"/>
        <v>1.6186440677966101</v>
      </c>
      <c r="L106">
        <v>8.1500000000000003E-2</v>
      </c>
      <c r="M106">
        <v>4.8000000000000001E-2</v>
      </c>
      <c r="N106">
        <v>175.55940000000001</v>
      </c>
      <c r="O106">
        <v>0.78290000000000004</v>
      </c>
      <c r="P106">
        <v>8.0299999999999996E-2</v>
      </c>
      <c r="Q106">
        <v>1083</v>
      </c>
      <c r="R106">
        <v>689</v>
      </c>
      <c r="S106">
        <v>17.927900000000001</v>
      </c>
      <c r="T106">
        <v>4.53E-2</v>
      </c>
      <c r="U106">
        <v>1.6971000000000001</v>
      </c>
      <c r="V106">
        <v>0.58930000000000005</v>
      </c>
      <c r="W106">
        <v>0.94789999999999996</v>
      </c>
    </row>
    <row r="107" spans="1:23" x14ac:dyDescent="0.25">
      <c r="A107">
        <v>116</v>
      </c>
      <c r="B107">
        <v>1.5E-3</v>
      </c>
      <c r="C107">
        <v>0</v>
      </c>
      <c r="D107">
        <v>0.14580000000000001</v>
      </c>
      <c r="E107">
        <v>2.6741999999999999</v>
      </c>
      <c r="F107">
        <v>1.5618000000000001</v>
      </c>
      <c r="G107">
        <v>4.9399999999999999E-2</v>
      </c>
      <c r="H107">
        <f t="shared" si="3"/>
        <v>49.4</v>
      </c>
      <c r="I107">
        <v>3.5999999999999997E-2</v>
      </c>
      <c r="J107">
        <f t="shared" si="4"/>
        <v>36</v>
      </c>
      <c r="K107">
        <f t="shared" si="5"/>
        <v>1.3722222222222222</v>
      </c>
      <c r="L107">
        <v>5.1700000000000003E-2</v>
      </c>
      <c r="M107">
        <v>3.7400000000000003E-2</v>
      </c>
      <c r="N107">
        <v>173.24270000000001</v>
      </c>
      <c r="O107">
        <v>0.89890000000000003</v>
      </c>
      <c r="P107">
        <v>5.2400000000000002E-2</v>
      </c>
      <c r="Q107">
        <v>1191</v>
      </c>
      <c r="R107">
        <v>696</v>
      </c>
      <c r="S107">
        <v>149.03620000000001</v>
      </c>
      <c r="T107">
        <v>3.5999999999999997E-2</v>
      </c>
      <c r="U107">
        <v>1.3836999999999999</v>
      </c>
      <c r="V107">
        <v>0.72270000000000001</v>
      </c>
      <c r="W107">
        <v>0.9556</v>
      </c>
    </row>
    <row r="108" spans="1:23" x14ac:dyDescent="0.25">
      <c r="A108">
        <v>117</v>
      </c>
      <c r="B108">
        <v>1.8E-3</v>
      </c>
      <c r="C108">
        <v>0</v>
      </c>
      <c r="D108">
        <v>0.15529999999999999</v>
      </c>
      <c r="E108">
        <v>0.77080000000000004</v>
      </c>
      <c r="F108">
        <v>1.5663</v>
      </c>
      <c r="G108">
        <v>4.4900000000000002E-2</v>
      </c>
      <c r="H108">
        <f t="shared" si="3"/>
        <v>44.900000000000006</v>
      </c>
      <c r="I108">
        <v>4.7199999999999999E-2</v>
      </c>
      <c r="J108">
        <f t="shared" si="4"/>
        <v>47.199999999999996</v>
      </c>
      <c r="K108">
        <f t="shared" si="5"/>
        <v>0.95127118644067821</v>
      </c>
      <c r="L108">
        <v>5.0099999999999999E-2</v>
      </c>
      <c r="M108">
        <v>4.4499999999999998E-2</v>
      </c>
      <c r="N108">
        <v>61.262599999999999</v>
      </c>
      <c r="O108">
        <v>0.91290000000000004</v>
      </c>
      <c r="P108">
        <v>5.4100000000000002E-2</v>
      </c>
      <c r="Q108">
        <v>344</v>
      </c>
      <c r="R108">
        <v>716</v>
      </c>
      <c r="S108">
        <v>41.633499999999998</v>
      </c>
      <c r="T108">
        <v>4.4600000000000001E-2</v>
      </c>
      <c r="U108">
        <v>1.1251</v>
      </c>
      <c r="V108">
        <v>0.88880000000000003</v>
      </c>
      <c r="W108">
        <v>0.94550000000000001</v>
      </c>
    </row>
    <row r="109" spans="1:23" x14ac:dyDescent="0.25">
      <c r="A109">
        <v>118</v>
      </c>
      <c r="B109">
        <v>1.6000000000000001E-3</v>
      </c>
      <c r="C109">
        <v>0</v>
      </c>
      <c r="D109">
        <v>0.1482</v>
      </c>
      <c r="E109">
        <v>3.0989</v>
      </c>
      <c r="F109">
        <v>1.573</v>
      </c>
      <c r="G109">
        <v>4.7199999999999999E-2</v>
      </c>
      <c r="H109">
        <f t="shared" si="3"/>
        <v>47.199999999999996</v>
      </c>
      <c r="I109">
        <v>4.2700000000000002E-2</v>
      </c>
      <c r="J109">
        <f t="shared" si="4"/>
        <v>42.7</v>
      </c>
      <c r="K109">
        <f t="shared" si="5"/>
        <v>1.1053864168618266</v>
      </c>
      <c r="L109">
        <v>4.7800000000000002E-2</v>
      </c>
      <c r="M109">
        <v>4.1300000000000003E-2</v>
      </c>
      <c r="N109">
        <v>32.030900000000003</v>
      </c>
      <c r="O109">
        <v>0.88719999999999999</v>
      </c>
      <c r="P109">
        <v>5.2999999999999999E-2</v>
      </c>
      <c r="Q109">
        <v>1379</v>
      </c>
      <c r="R109">
        <v>717</v>
      </c>
      <c r="S109">
        <v>36.384399999999999</v>
      </c>
      <c r="T109">
        <v>4.2700000000000002E-2</v>
      </c>
      <c r="U109">
        <v>1.1567000000000001</v>
      </c>
      <c r="V109">
        <v>0.86450000000000005</v>
      </c>
      <c r="W109">
        <v>0.92889999999999995</v>
      </c>
    </row>
    <row r="110" spans="1:23" x14ac:dyDescent="0.25">
      <c r="A110">
        <v>119</v>
      </c>
      <c r="B110">
        <v>1.6999999999999999E-3</v>
      </c>
      <c r="C110">
        <v>0</v>
      </c>
      <c r="D110">
        <v>0.15659999999999999</v>
      </c>
      <c r="E110">
        <v>1.0853999999999999</v>
      </c>
      <c r="F110">
        <v>1.5865</v>
      </c>
      <c r="G110">
        <v>5.1700000000000003E-2</v>
      </c>
      <c r="H110">
        <f t="shared" si="3"/>
        <v>51.7</v>
      </c>
      <c r="I110">
        <v>4.0399999999999998E-2</v>
      </c>
      <c r="J110">
        <f t="shared" si="4"/>
        <v>40.4</v>
      </c>
      <c r="K110">
        <f t="shared" si="5"/>
        <v>1.2797029702970297</v>
      </c>
      <c r="L110">
        <v>5.33E-2</v>
      </c>
      <c r="M110">
        <v>4.1500000000000002E-2</v>
      </c>
      <c r="N110">
        <v>178.8389</v>
      </c>
      <c r="O110">
        <v>0.88990000000000002</v>
      </c>
      <c r="P110">
        <v>5.5300000000000002E-2</v>
      </c>
      <c r="Q110">
        <v>483</v>
      </c>
      <c r="R110">
        <v>721</v>
      </c>
      <c r="S110">
        <v>26.565100000000001</v>
      </c>
      <c r="T110">
        <v>4.0399999999999998E-2</v>
      </c>
      <c r="U110">
        <v>1.2823</v>
      </c>
      <c r="V110">
        <v>0.77980000000000005</v>
      </c>
      <c r="W110">
        <v>0.9425</v>
      </c>
    </row>
    <row r="111" spans="1:23" x14ac:dyDescent="0.25">
      <c r="A111">
        <v>120</v>
      </c>
      <c r="B111">
        <v>3.8E-3</v>
      </c>
      <c r="C111">
        <v>0</v>
      </c>
      <c r="D111">
        <v>0.23280000000000001</v>
      </c>
      <c r="E111">
        <v>3.2404000000000002</v>
      </c>
      <c r="F111">
        <v>1.591</v>
      </c>
      <c r="G111">
        <v>6.9699999999999998E-2</v>
      </c>
      <c r="H111">
        <f t="shared" si="3"/>
        <v>69.7</v>
      </c>
      <c r="I111">
        <v>6.5199999999999994E-2</v>
      </c>
      <c r="J111">
        <f t="shared" si="4"/>
        <v>65.199999999999989</v>
      </c>
      <c r="K111">
        <f t="shared" si="5"/>
        <v>1.0690184049079756</v>
      </c>
      <c r="L111">
        <v>7.1199999999999999E-2</v>
      </c>
      <c r="M111">
        <v>6.7199999999999996E-2</v>
      </c>
      <c r="N111">
        <v>177.2501</v>
      </c>
      <c r="O111">
        <v>0.87109999999999999</v>
      </c>
      <c r="P111">
        <v>7.8600000000000003E-2</v>
      </c>
      <c r="Q111">
        <v>1442</v>
      </c>
      <c r="R111">
        <v>731</v>
      </c>
      <c r="S111">
        <v>30.963799999999999</v>
      </c>
      <c r="T111">
        <v>6.3500000000000001E-2</v>
      </c>
      <c r="U111">
        <v>1.0587</v>
      </c>
      <c r="V111">
        <v>0.94450000000000001</v>
      </c>
      <c r="W111">
        <v>0.9466</v>
      </c>
    </row>
    <row r="112" spans="1:23" x14ac:dyDescent="0.25">
      <c r="A112">
        <v>121</v>
      </c>
      <c r="B112">
        <v>1.9E-3</v>
      </c>
      <c r="C112">
        <v>0</v>
      </c>
      <c r="D112">
        <v>0.16059999999999999</v>
      </c>
      <c r="E112">
        <v>0.93930000000000002</v>
      </c>
      <c r="F112">
        <v>1.6247</v>
      </c>
      <c r="G112">
        <v>4.7199999999999999E-2</v>
      </c>
      <c r="H112">
        <f t="shared" si="3"/>
        <v>47.199999999999996</v>
      </c>
      <c r="I112">
        <v>4.4900000000000002E-2</v>
      </c>
      <c r="J112">
        <f t="shared" si="4"/>
        <v>44.900000000000006</v>
      </c>
      <c r="K112">
        <f t="shared" si="5"/>
        <v>1.0512249443207125</v>
      </c>
      <c r="L112">
        <v>5.0700000000000002E-2</v>
      </c>
      <c r="M112">
        <v>4.7199999999999999E-2</v>
      </c>
      <c r="N112">
        <v>39.707099999999997</v>
      </c>
      <c r="O112">
        <v>0.91549999999999998</v>
      </c>
      <c r="P112">
        <v>5.7599999999999998E-2</v>
      </c>
      <c r="Q112">
        <v>418</v>
      </c>
      <c r="R112">
        <v>741</v>
      </c>
      <c r="S112">
        <v>38.659799999999997</v>
      </c>
      <c r="T112">
        <v>4.4900000000000002E-2</v>
      </c>
      <c r="U112">
        <v>1.0752999999999999</v>
      </c>
      <c r="V112">
        <v>0.93</v>
      </c>
      <c r="W112">
        <v>0.96</v>
      </c>
    </row>
    <row r="113" spans="1:23" x14ac:dyDescent="0.25">
      <c r="A113">
        <v>122</v>
      </c>
      <c r="B113">
        <v>4.0000000000000001E-3</v>
      </c>
      <c r="C113">
        <v>0</v>
      </c>
      <c r="D113">
        <v>0.2412</v>
      </c>
      <c r="E113">
        <v>0.1326</v>
      </c>
      <c r="F113">
        <v>1.6629</v>
      </c>
      <c r="G113">
        <v>6.9699999999999998E-2</v>
      </c>
      <c r="H113">
        <f t="shared" si="3"/>
        <v>69.7</v>
      </c>
      <c r="I113">
        <v>6.7400000000000002E-2</v>
      </c>
      <c r="J113">
        <f t="shared" si="4"/>
        <v>67.400000000000006</v>
      </c>
      <c r="K113">
        <f t="shared" si="5"/>
        <v>1.0341246290801187</v>
      </c>
      <c r="L113">
        <v>7.3400000000000007E-2</v>
      </c>
      <c r="M113">
        <v>6.9500000000000006E-2</v>
      </c>
      <c r="N113">
        <v>23.164300000000001</v>
      </c>
      <c r="O113">
        <v>0.86460000000000004</v>
      </c>
      <c r="P113">
        <v>8.3599999999999994E-2</v>
      </c>
      <c r="Q113">
        <v>60</v>
      </c>
      <c r="R113">
        <v>766</v>
      </c>
      <c r="S113">
        <v>36.253799999999998</v>
      </c>
      <c r="T113">
        <v>6.6500000000000004E-2</v>
      </c>
      <c r="U113">
        <v>1.0558000000000001</v>
      </c>
      <c r="V113">
        <v>0.94720000000000004</v>
      </c>
      <c r="W113">
        <v>0.9526</v>
      </c>
    </row>
    <row r="114" spans="1:23" x14ac:dyDescent="0.25">
      <c r="A114">
        <v>124</v>
      </c>
      <c r="B114">
        <v>1.9E-3</v>
      </c>
      <c r="C114">
        <v>0</v>
      </c>
      <c r="D114">
        <v>0.16769999999999999</v>
      </c>
      <c r="E114">
        <v>1.4381999999999999</v>
      </c>
      <c r="F114">
        <v>1.6920999999999999</v>
      </c>
      <c r="G114">
        <v>4.9399999999999999E-2</v>
      </c>
      <c r="H114">
        <f t="shared" si="3"/>
        <v>49.4</v>
      </c>
      <c r="I114">
        <v>4.4900000000000002E-2</v>
      </c>
      <c r="J114">
        <f t="shared" si="4"/>
        <v>44.900000000000006</v>
      </c>
      <c r="K114">
        <f t="shared" si="5"/>
        <v>1.1002227171492203</v>
      </c>
      <c r="L114">
        <v>5.1400000000000001E-2</v>
      </c>
      <c r="M114">
        <v>4.8000000000000001E-2</v>
      </c>
      <c r="N114">
        <v>10.582000000000001</v>
      </c>
      <c r="O114">
        <v>0.86650000000000005</v>
      </c>
      <c r="P114">
        <v>5.9799999999999999E-2</v>
      </c>
      <c r="Q114">
        <v>640</v>
      </c>
      <c r="R114">
        <v>770</v>
      </c>
      <c r="S114">
        <v>34.286900000000003</v>
      </c>
      <c r="T114">
        <v>4.4900000000000002E-2</v>
      </c>
      <c r="U114">
        <v>1.0713999999999999</v>
      </c>
      <c r="V114">
        <v>0.93340000000000001</v>
      </c>
      <c r="W114">
        <v>0.94699999999999995</v>
      </c>
    </row>
    <row r="115" spans="1:23" x14ac:dyDescent="0.25">
      <c r="A115">
        <v>126</v>
      </c>
      <c r="B115">
        <v>1.4E-3</v>
      </c>
      <c r="C115">
        <v>0</v>
      </c>
      <c r="D115">
        <v>0.14000000000000001</v>
      </c>
      <c r="E115">
        <v>2.7639999999999998</v>
      </c>
      <c r="F115">
        <v>1.7347999999999999</v>
      </c>
      <c r="G115">
        <v>4.4900000000000002E-2</v>
      </c>
      <c r="H115">
        <f t="shared" si="3"/>
        <v>44.900000000000006</v>
      </c>
      <c r="I115">
        <v>3.8199999999999998E-2</v>
      </c>
      <c r="J115">
        <f t="shared" si="4"/>
        <v>38.199999999999996</v>
      </c>
      <c r="K115">
        <f t="shared" si="5"/>
        <v>1.1753926701570683</v>
      </c>
      <c r="L115">
        <v>4.6800000000000001E-2</v>
      </c>
      <c r="M115">
        <v>3.9300000000000002E-2</v>
      </c>
      <c r="N115">
        <v>168.6618</v>
      </c>
      <c r="O115">
        <v>0.9264</v>
      </c>
      <c r="P115">
        <v>4.99E-2</v>
      </c>
      <c r="Q115">
        <v>1231</v>
      </c>
      <c r="R115">
        <v>773</v>
      </c>
      <c r="S115">
        <v>144.16229999999999</v>
      </c>
      <c r="T115">
        <v>3.8199999999999998E-2</v>
      </c>
      <c r="U115">
        <v>1.1918</v>
      </c>
      <c r="V115">
        <v>0.83909999999999996</v>
      </c>
      <c r="W115">
        <v>0.95020000000000004</v>
      </c>
    </row>
    <row r="116" spans="1:23" x14ac:dyDescent="0.25">
      <c r="A116">
        <v>127</v>
      </c>
      <c r="B116">
        <v>3.0000000000000001E-3</v>
      </c>
      <c r="C116">
        <v>0</v>
      </c>
      <c r="D116">
        <v>0.2079</v>
      </c>
      <c r="E116">
        <v>0.96630000000000005</v>
      </c>
      <c r="F116">
        <v>1.7371000000000001</v>
      </c>
      <c r="G116">
        <v>6.0699999999999997E-2</v>
      </c>
      <c r="H116">
        <f t="shared" si="3"/>
        <v>60.699999999999996</v>
      </c>
      <c r="I116">
        <v>5.8400000000000001E-2</v>
      </c>
      <c r="J116">
        <f t="shared" si="4"/>
        <v>58.4</v>
      </c>
      <c r="K116">
        <f t="shared" si="5"/>
        <v>1.0393835616438356</v>
      </c>
      <c r="L116">
        <v>6.4000000000000001E-2</v>
      </c>
      <c r="M116">
        <v>5.91E-2</v>
      </c>
      <c r="N116">
        <v>24.741</v>
      </c>
      <c r="O116">
        <v>0.86450000000000005</v>
      </c>
      <c r="P116">
        <v>7.17E-2</v>
      </c>
      <c r="Q116">
        <v>430</v>
      </c>
      <c r="R116">
        <v>796</v>
      </c>
      <c r="S116">
        <v>41.185899999999997</v>
      </c>
      <c r="T116">
        <v>5.8400000000000001E-2</v>
      </c>
      <c r="U116">
        <v>1.083</v>
      </c>
      <c r="V116">
        <v>0.9234</v>
      </c>
      <c r="W116">
        <v>0.95079999999999998</v>
      </c>
    </row>
    <row r="117" spans="1:23" x14ac:dyDescent="0.25">
      <c r="A117">
        <v>128</v>
      </c>
      <c r="B117">
        <v>3.3E-3</v>
      </c>
      <c r="C117">
        <v>0</v>
      </c>
      <c r="D117">
        <v>0.21560000000000001</v>
      </c>
      <c r="E117">
        <v>2.1191</v>
      </c>
      <c r="F117">
        <v>1.7798</v>
      </c>
      <c r="G117">
        <v>6.9699999999999998E-2</v>
      </c>
      <c r="H117">
        <f t="shared" si="3"/>
        <v>69.7</v>
      </c>
      <c r="I117">
        <v>5.3900000000000003E-2</v>
      </c>
      <c r="J117">
        <f t="shared" si="4"/>
        <v>53.900000000000006</v>
      </c>
      <c r="K117">
        <f t="shared" si="5"/>
        <v>1.2931354359925789</v>
      </c>
      <c r="L117">
        <v>7.4099999999999999E-2</v>
      </c>
      <c r="M117">
        <v>5.6099999999999997E-2</v>
      </c>
      <c r="N117">
        <v>176.68209999999999</v>
      </c>
      <c r="O117">
        <v>0.88190000000000002</v>
      </c>
      <c r="P117">
        <v>7.6399999999999996E-2</v>
      </c>
      <c r="Q117">
        <v>943</v>
      </c>
      <c r="R117">
        <v>810</v>
      </c>
      <c r="S117">
        <v>24.304500000000001</v>
      </c>
      <c r="T117">
        <v>5.3900000000000003E-2</v>
      </c>
      <c r="U117">
        <v>1.3218000000000001</v>
      </c>
      <c r="V117">
        <v>0.75649999999999995</v>
      </c>
      <c r="W117">
        <v>0.96130000000000004</v>
      </c>
    </row>
    <row r="118" spans="1:23" x14ac:dyDescent="0.25">
      <c r="A118">
        <v>129</v>
      </c>
      <c r="B118">
        <v>8.0000000000000004E-4</v>
      </c>
      <c r="C118">
        <v>0</v>
      </c>
      <c r="D118">
        <v>0.1082</v>
      </c>
      <c r="E118">
        <v>3.2629000000000001</v>
      </c>
      <c r="F118">
        <v>1.782</v>
      </c>
      <c r="G118">
        <v>2.92E-2</v>
      </c>
      <c r="H118">
        <f t="shared" si="3"/>
        <v>29.2</v>
      </c>
      <c r="I118">
        <v>3.15E-2</v>
      </c>
      <c r="J118">
        <f t="shared" si="4"/>
        <v>31.5</v>
      </c>
      <c r="K118">
        <f t="shared" si="5"/>
        <v>0.92698412698412691</v>
      </c>
      <c r="L118">
        <v>3.5400000000000001E-2</v>
      </c>
      <c r="M118">
        <v>3.04E-2</v>
      </c>
      <c r="N118">
        <v>69.713300000000004</v>
      </c>
      <c r="O118">
        <v>0.90549999999999997</v>
      </c>
      <c r="P118">
        <v>0.04</v>
      </c>
      <c r="Q118">
        <v>1453</v>
      </c>
      <c r="R118">
        <v>807</v>
      </c>
      <c r="S118">
        <v>51.842799999999997</v>
      </c>
      <c r="T118">
        <v>2.92E-2</v>
      </c>
      <c r="U118">
        <v>1.1648000000000001</v>
      </c>
      <c r="V118">
        <v>0.85850000000000004</v>
      </c>
      <c r="W118">
        <v>0.96809999999999996</v>
      </c>
    </row>
    <row r="119" spans="1:23" x14ac:dyDescent="0.25">
      <c r="A119">
        <v>130</v>
      </c>
      <c r="B119">
        <v>1.2999999999999999E-3</v>
      </c>
      <c r="C119">
        <v>0</v>
      </c>
      <c r="D119">
        <v>0.1336</v>
      </c>
      <c r="E119">
        <v>2.9729999999999999</v>
      </c>
      <c r="F119">
        <v>1.7843</v>
      </c>
      <c r="G119">
        <v>4.4900000000000002E-2</v>
      </c>
      <c r="H119">
        <f t="shared" si="3"/>
        <v>44.900000000000006</v>
      </c>
      <c r="I119">
        <v>3.3700000000000001E-2</v>
      </c>
      <c r="J119">
        <f t="shared" si="4"/>
        <v>33.700000000000003</v>
      </c>
      <c r="K119">
        <f t="shared" si="5"/>
        <v>1.3323442136498518</v>
      </c>
      <c r="L119">
        <v>4.4699999999999997E-2</v>
      </c>
      <c r="M119">
        <v>3.61E-2</v>
      </c>
      <c r="N119">
        <v>2.927</v>
      </c>
      <c r="O119">
        <v>0.89229999999999998</v>
      </c>
      <c r="P119">
        <v>4.6300000000000001E-2</v>
      </c>
      <c r="Q119">
        <v>1324</v>
      </c>
      <c r="R119">
        <v>796</v>
      </c>
      <c r="S119">
        <v>150.94540000000001</v>
      </c>
      <c r="T119">
        <v>3.3700000000000001E-2</v>
      </c>
      <c r="U119">
        <v>1.2358</v>
      </c>
      <c r="V119">
        <v>0.80920000000000003</v>
      </c>
      <c r="W119">
        <v>0.94179999999999997</v>
      </c>
    </row>
    <row r="120" spans="1:23" x14ac:dyDescent="0.25">
      <c r="A120">
        <v>131</v>
      </c>
      <c r="B120">
        <v>5.9999999999999995E-4</v>
      </c>
      <c r="C120">
        <v>0</v>
      </c>
      <c r="D120">
        <v>9.2600000000000002E-2</v>
      </c>
      <c r="E120">
        <v>2.7124000000000001</v>
      </c>
      <c r="F120">
        <v>1.7909999999999999</v>
      </c>
      <c r="G120">
        <v>2.7E-2</v>
      </c>
      <c r="H120">
        <f t="shared" si="3"/>
        <v>27</v>
      </c>
      <c r="I120">
        <v>2.92E-2</v>
      </c>
      <c r="J120">
        <f t="shared" si="4"/>
        <v>29.2</v>
      </c>
      <c r="K120">
        <f t="shared" si="5"/>
        <v>0.92465753424657537</v>
      </c>
      <c r="L120">
        <v>3.2399999999999998E-2</v>
      </c>
      <c r="M120">
        <v>2.4E-2</v>
      </c>
      <c r="N120">
        <v>56.466299999999997</v>
      </c>
      <c r="O120">
        <v>0.8952</v>
      </c>
      <c r="P120">
        <v>3.5099999999999999E-2</v>
      </c>
      <c r="Q120">
        <v>1207</v>
      </c>
      <c r="R120">
        <v>809</v>
      </c>
      <c r="S120">
        <v>39.805599999999998</v>
      </c>
      <c r="T120">
        <v>2.6200000000000001E-2</v>
      </c>
      <c r="U120">
        <v>1.3468</v>
      </c>
      <c r="V120">
        <v>0.74250000000000005</v>
      </c>
      <c r="W120">
        <v>0.90639999999999998</v>
      </c>
    </row>
    <row r="121" spans="1:23" x14ac:dyDescent="0.25">
      <c r="A121">
        <v>132</v>
      </c>
      <c r="B121">
        <v>3.2000000000000002E-3</v>
      </c>
      <c r="C121">
        <v>0</v>
      </c>
      <c r="D121">
        <v>0.21560000000000001</v>
      </c>
      <c r="E121">
        <v>0.28539999999999999</v>
      </c>
      <c r="F121">
        <v>1.8134999999999999</v>
      </c>
      <c r="G121">
        <v>5.62E-2</v>
      </c>
      <c r="H121">
        <f t="shared" si="3"/>
        <v>56.2</v>
      </c>
      <c r="I121">
        <v>6.7400000000000002E-2</v>
      </c>
      <c r="J121">
        <f t="shared" si="4"/>
        <v>67.400000000000006</v>
      </c>
      <c r="K121">
        <f t="shared" si="5"/>
        <v>0.83382789317507411</v>
      </c>
      <c r="L121">
        <v>7.1800000000000003E-2</v>
      </c>
      <c r="M121">
        <v>5.7099999999999998E-2</v>
      </c>
      <c r="N121">
        <v>100.4465</v>
      </c>
      <c r="O121">
        <v>0.871</v>
      </c>
      <c r="P121">
        <v>7.6700000000000004E-2</v>
      </c>
      <c r="Q121">
        <v>132</v>
      </c>
      <c r="R121">
        <v>807</v>
      </c>
      <c r="S121">
        <v>121.8274</v>
      </c>
      <c r="T121">
        <v>5.62E-2</v>
      </c>
      <c r="U121">
        <v>1.2562</v>
      </c>
      <c r="V121">
        <v>0.79610000000000003</v>
      </c>
      <c r="W121">
        <v>0.95650000000000002</v>
      </c>
    </row>
    <row r="122" spans="1:23" x14ac:dyDescent="0.25">
      <c r="A122">
        <v>133</v>
      </c>
      <c r="B122">
        <v>2.3E-3</v>
      </c>
      <c r="C122">
        <v>0</v>
      </c>
      <c r="D122">
        <v>0.18099999999999999</v>
      </c>
      <c r="E122">
        <v>0.43149999999999999</v>
      </c>
      <c r="F122">
        <v>1.8427</v>
      </c>
      <c r="G122">
        <v>4.9399999999999999E-2</v>
      </c>
      <c r="H122">
        <f t="shared" si="3"/>
        <v>49.4</v>
      </c>
      <c r="I122">
        <v>5.62E-2</v>
      </c>
      <c r="J122">
        <f t="shared" si="4"/>
        <v>56.2</v>
      </c>
      <c r="K122">
        <f t="shared" si="5"/>
        <v>0.87900355871886116</v>
      </c>
      <c r="L122">
        <v>5.8400000000000001E-2</v>
      </c>
      <c r="M122">
        <v>4.9599999999999998E-2</v>
      </c>
      <c r="N122">
        <v>84.680899999999994</v>
      </c>
      <c r="O122">
        <v>0.872</v>
      </c>
      <c r="P122">
        <v>6.1699999999999998E-2</v>
      </c>
      <c r="Q122">
        <v>195</v>
      </c>
      <c r="R122">
        <v>821</v>
      </c>
      <c r="S122">
        <v>123.1113</v>
      </c>
      <c r="T122">
        <v>4.7600000000000003E-2</v>
      </c>
      <c r="U122">
        <v>1.1776</v>
      </c>
      <c r="V122">
        <v>0.84919999999999995</v>
      </c>
      <c r="W122">
        <v>0.9365</v>
      </c>
    </row>
    <row r="123" spans="1:23" x14ac:dyDescent="0.25">
      <c r="A123">
        <v>134</v>
      </c>
      <c r="B123">
        <v>1.6999999999999999E-3</v>
      </c>
      <c r="C123">
        <v>0</v>
      </c>
      <c r="D123">
        <v>0.16239999999999999</v>
      </c>
      <c r="E123">
        <v>0.97750000000000004</v>
      </c>
      <c r="F123">
        <v>1.9213</v>
      </c>
      <c r="G123">
        <v>4.7199999999999999E-2</v>
      </c>
      <c r="H123">
        <f t="shared" si="3"/>
        <v>47.199999999999996</v>
      </c>
      <c r="I123">
        <v>4.4900000000000002E-2</v>
      </c>
      <c r="J123">
        <f t="shared" si="4"/>
        <v>44.900000000000006</v>
      </c>
      <c r="K123">
        <f t="shared" si="5"/>
        <v>1.0512249443207125</v>
      </c>
      <c r="L123">
        <v>5.1900000000000002E-2</v>
      </c>
      <c r="M123">
        <v>4.2799999999999998E-2</v>
      </c>
      <c r="N123">
        <v>50.139400000000002</v>
      </c>
      <c r="O123">
        <v>0.82969999999999999</v>
      </c>
      <c r="P123">
        <v>5.9299999999999999E-2</v>
      </c>
      <c r="Q123">
        <v>435</v>
      </c>
      <c r="R123">
        <v>873</v>
      </c>
      <c r="S123">
        <v>37.303899999999999</v>
      </c>
      <c r="T123">
        <v>4.4499999999999998E-2</v>
      </c>
      <c r="U123">
        <v>1.212</v>
      </c>
      <c r="V123">
        <v>0.82509999999999994</v>
      </c>
      <c r="W123">
        <v>0.93369999999999997</v>
      </c>
    </row>
    <row r="124" spans="1:23" x14ac:dyDescent="0.25">
      <c r="A124">
        <v>135</v>
      </c>
      <c r="B124">
        <v>1.4E-3</v>
      </c>
      <c r="C124">
        <v>0</v>
      </c>
      <c r="D124">
        <v>0.1394</v>
      </c>
      <c r="E124">
        <v>3.3079000000000001</v>
      </c>
      <c r="F124">
        <v>1.9326000000000001</v>
      </c>
      <c r="G124">
        <v>3.5999999999999997E-2</v>
      </c>
      <c r="H124">
        <f t="shared" si="3"/>
        <v>36</v>
      </c>
      <c r="I124">
        <v>4.4900000000000002E-2</v>
      </c>
      <c r="J124">
        <f t="shared" si="4"/>
        <v>44.900000000000006</v>
      </c>
      <c r="K124">
        <f t="shared" si="5"/>
        <v>0.80178173719376378</v>
      </c>
      <c r="L124">
        <v>4.8500000000000001E-2</v>
      </c>
      <c r="M124">
        <v>3.6999999999999998E-2</v>
      </c>
      <c r="N124">
        <v>80.835599999999999</v>
      </c>
      <c r="O124">
        <v>0.91090000000000004</v>
      </c>
      <c r="P124">
        <v>5.0500000000000003E-2</v>
      </c>
      <c r="Q124">
        <v>1474</v>
      </c>
      <c r="R124">
        <v>880</v>
      </c>
      <c r="S124">
        <v>57.724400000000003</v>
      </c>
      <c r="T124">
        <v>3.5999999999999997E-2</v>
      </c>
      <c r="U124">
        <v>1.3136000000000001</v>
      </c>
      <c r="V124">
        <v>0.76129999999999998</v>
      </c>
      <c r="W124">
        <v>0.95379999999999998</v>
      </c>
    </row>
    <row r="125" spans="1:23" x14ac:dyDescent="0.25">
      <c r="A125">
        <v>136</v>
      </c>
      <c r="B125">
        <v>6.9999999999999999E-4</v>
      </c>
      <c r="C125">
        <v>0</v>
      </c>
      <c r="D125">
        <v>9.7900000000000001E-2</v>
      </c>
      <c r="E125">
        <v>2.8854000000000002</v>
      </c>
      <c r="F125">
        <v>1.9482999999999999</v>
      </c>
      <c r="G125">
        <v>2.2499999999999999E-2</v>
      </c>
      <c r="H125">
        <f t="shared" si="3"/>
        <v>22.5</v>
      </c>
      <c r="I125">
        <v>3.3700000000000001E-2</v>
      </c>
      <c r="J125">
        <f t="shared" si="4"/>
        <v>33.700000000000003</v>
      </c>
      <c r="K125">
        <f t="shared" si="5"/>
        <v>0.66765578635014833</v>
      </c>
      <c r="L125">
        <v>3.5000000000000003E-2</v>
      </c>
      <c r="M125">
        <v>2.4199999999999999E-2</v>
      </c>
      <c r="N125">
        <v>81.058400000000006</v>
      </c>
      <c r="O125">
        <v>0.87429999999999997</v>
      </c>
      <c r="P125">
        <v>3.7400000000000003E-2</v>
      </c>
      <c r="Q125">
        <v>1285</v>
      </c>
      <c r="R125">
        <v>881</v>
      </c>
      <c r="S125">
        <v>57.264800000000001</v>
      </c>
      <c r="T125">
        <v>2.2499999999999999E-2</v>
      </c>
      <c r="U125">
        <v>1.4434</v>
      </c>
      <c r="V125">
        <v>0.69279999999999997</v>
      </c>
      <c r="W125">
        <v>0.96</v>
      </c>
    </row>
    <row r="126" spans="1:23" x14ac:dyDescent="0.25">
      <c r="A126">
        <v>137</v>
      </c>
      <c r="B126">
        <v>2.3E-3</v>
      </c>
      <c r="C126">
        <v>0</v>
      </c>
      <c r="D126">
        <v>0.1817</v>
      </c>
      <c r="E126">
        <v>0.65620000000000001</v>
      </c>
      <c r="F126">
        <v>1.9596</v>
      </c>
      <c r="G126">
        <v>5.62E-2</v>
      </c>
      <c r="H126">
        <f t="shared" si="3"/>
        <v>56.2</v>
      </c>
      <c r="I126">
        <v>4.7199999999999999E-2</v>
      </c>
      <c r="J126">
        <f t="shared" si="4"/>
        <v>47.199999999999996</v>
      </c>
      <c r="K126">
        <f t="shared" si="5"/>
        <v>1.1906779661016951</v>
      </c>
      <c r="L126">
        <v>6.08E-2</v>
      </c>
      <c r="M126">
        <v>4.9200000000000001E-2</v>
      </c>
      <c r="N126">
        <v>172.06110000000001</v>
      </c>
      <c r="O126">
        <v>0.89349999999999996</v>
      </c>
      <c r="P126">
        <v>6.3899999999999998E-2</v>
      </c>
      <c r="Q126">
        <v>294</v>
      </c>
      <c r="R126">
        <v>874</v>
      </c>
      <c r="S126">
        <v>140.7106</v>
      </c>
      <c r="T126">
        <v>4.7199999999999999E-2</v>
      </c>
      <c r="U126">
        <v>1.2369000000000001</v>
      </c>
      <c r="V126">
        <v>0.80840000000000001</v>
      </c>
      <c r="W126">
        <v>0.9617</v>
      </c>
    </row>
    <row r="127" spans="1:23" x14ac:dyDescent="0.25">
      <c r="A127">
        <v>138</v>
      </c>
      <c r="B127">
        <v>2.8999999999999998E-3</v>
      </c>
      <c r="C127">
        <v>0</v>
      </c>
      <c r="D127">
        <v>0.2034</v>
      </c>
      <c r="E127">
        <v>0.34379999999999999</v>
      </c>
      <c r="F127">
        <v>1.964</v>
      </c>
      <c r="G127">
        <v>6.9699999999999998E-2</v>
      </c>
      <c r="H127">
        <f t="shared" si="3"/>
        <v>69.7</v>
      </c>
      <c r="I127">
        <v>4.7199999999999999E-2</v>
      </c>
      <c r="J127">
        <f t="shared" si="4"/>
        <v>47.199999999999996</v>
      </c>
      <c r="K127">
        <f t="shared" si="5"/>
        <v>1.4766949152542375</v>
      </c>
      <c r="L127">
        <v>7.4099999999999999E-2</v>
      </c>
      <c r="M127">
        <v>4.9399999999999999E-2</v>
      </c>
      <c r="N127">
        <v>178.56389999999999</v>
      </c>
      <c r="O127">
        <v>0.87250000000000005</v>
      </c>
      <c r="P127">
        <v>7.3200000000000001E-2</v>
      </c>
      <c r="Q127">
        <v>153</v>
      </c>
      <c r="R127">
        <v>891</v>
      </c>
      <c r="S127">
        <v>17.878699999999998</v>
      </c>
      <c r="T127">
        <v>4.7199999999999999E-2</v>
      </c>
      <c r="U127">
        <v>1.5002</v>
      </c>
      <c r="V127">
        <v>0.66659999999999997</v>
      </c>
      <c r="W127">
        <v>0.96360000000000001</v>
      </c>
    </row>
    <row r="128" spans="1:23" x14ac:dyDescent="0.25">
      <c r="A128">
        <v>139</v>
      </c>
      <c r="B128">
        <v>2.5000000000000001E-3</v>
      </c>
      <c r="C128">
        <v>0</v>
      </c>
      <c r="D128">
        <v>0.18360000000000001</v>
      </c>
      <c r="E128">
        <v>1.5618000000000001</v>
      </c>
      <c r="F128">
        <v>1.9933000000000001</v>
      </c>
      <c r="G128">
        <v>5.62E-2</v>
      </c>
      <c r="H128">
        <f t="shared" si="3"/>
        <v>56.2</v>
      </c>
      <c r="I128">
        <v>4.9399999999999999E-2</v>
      </c>
      <c r="J128">
        <f t="shared" si="4"/>
        <v>49.4</v>
      </c>
      <c r="K128">
        <f t="shared" si="5"/>
        <v>1.1376518218623484</v>
      </c>
      <c r="L128">
        <v>5.9900000000000002E-2</v>
      </c>
      <c r="M128">
        <v>5.28E-2</v>
      </c>
      <c r="N128">
        <v>177.36009999999999</v>
      </c>
      <c r="O128">
        <v>0.92630000000000001</v>
      </c>
      <c r="P128">
        <v>6.3299999999999995E-2</v>
      </c>
      <c r="Q128">
        <v>695</v>
      </c>
      <c r="R128">
        <v>902</v>
      </c>
      <c r="S128">
        <v>27.474399999999999</v>
      </c>
      <c r="T128">
        <v>4.9399999999999999E-2</v>
      </c>
      <c r="U128">
        <v>1.1335</v>
      </c>
      <c r="V128">
        <v>0.88219999999999998</v>
      </c>
      <c r="W128">
        <v>0.97140000000000004</v>
      </c>
    </row>
    <row r="129" spans="1:23" x14ac:dyDescent="0.25">
      <c r="A129">
        <v>140</v>
      </c>
      <c r="B129">
        <v>2.8E-3</v>
      </c>
      <c r="C129">
        <v>0</v>
      </c>
      <c r="D129">
        <v>0.1976</v>
      </c>
      <c r="E129">
        <v>3.1371000000000002</v>
      </c>
      <c r="F129">
        <v>2</v>
      </c>
      <c r="G129">
        <v>6.0699999999999997E-2</v>
      </c>
      <c r="H129">
        <f t="shared" si="3"/>
        <v>60.699999999999996</v>
      </c>
      <c r="I129">
        <v>5.3900000000000003E-2</v>
      </c>
      <c r="J129">
        <f t="shared" si="4"/>
        <v>53.900000000000006</v>
      </c>
      <c r="K129">
        <f t="shared" si="5"/>
        <v>1.1261595547309831</v>
      </c>
      <c r="L129">
        <v>6.3200000000000006E-2</v>
      </c>
      <c r="M129">
        <v>5.5800000000000002E-2</v>
      </c>
      <c r="N129">
        <v>164.14439999999999</v>
      </c>
      <c r="O129">
        <v>0.89039999999999997</v>
      </c>
      <c r="P129">
        <v>6.88E-2</v>
      </c>
      <c r="Q129">
        <v>1397</v>
      </c>
      <c r="R129">
        <v>892</v>
      </c>
      <c r="S129">
        <v>141.63249999999999</v>
      </c>
      <c r="T129">
        <v>5.3900000000000003E-2</v>
      </c>
      <c r="U129">
        <v>1.1324000000000001</v>
      </c>
      <c r="V129">
        <v>0.8831</v>
      </c>
      <c r="W129">
        <v>0.95469999999999999</v>
      </c>
    </row>
    <row r="130" spans="1:23" x14ac:dyDescent="0.25">
      <c r="A130">
        <v>141</v>
      </c>
      <c r="B130">
        <v>3.0000000000000001E-3</v>
      </c>
      <c r="C130">
        <v>0</v>
      </c>
      <c r="D130">
        <v>0.21060000000000001</v>
      </c>
      <c r="E130">
        <v>0.72809999999999997</v>
      </c>
      <c r="F130">
        <v>2.0225</v>
      </c>
      <c r="G130">
        <v>6.5199999999999994E-2</v>
      </c>
      <c r="H130">
        <f t="shared" si="3"/>
        <v>65.199999999999989</v>
      </c>
      <c r="I130">
        <v>5.1700000000000003E-2</v>
      </c>
      <c r="J130">
        <f t="shared" si="4"/>
        <v>51.7</v>
      </c>
      <c r="K130">
        <f t="shared" si="5"/>
        <v>1.2611218568665374</v>
      </c>
      <c r="L130">
        <v>6.88E-2</v>
      </c>
      <c r="M130">
        <v>5.5599999999999997E-2</v>
      </c>
      <c r="N130">
        <v>178.26</v>
      </c>
      <c r="O130">
        <v>0.85170000000000001</v>
      </c>
      <c r="P130">
        <v>7.3599999999999999E-2</v>
      </c>
      <c r="Q130">
        <v>325</v>
      </c>
      <c r="R130">
        <v>920</v>
      </c>
      <c r="S130">
        <v>31.2637</v>
      </c>
      <c r="T130">
        <v>5.1700000000000003E-2</v>
      </c>
      <c r="U130">
        <v>1.2358</v>
      </c>
      <c r="V130">
        <v>0.80920000000000003</v>
      </c>
      <c r="W130">
        <v>0.95279999999999998</v>
      </c>
    </row>
    <row r="131" spans="1:23" x14ac:dyDescent="0.25">
      <c r="A131">
        <v>142</v>
      </c>
      <c r="B131">
        <v>3.0000000000000001E-3</v>
      </c>
      <c r="C131">
        <v>0</v>
      </c>
      <c r="D131">
        <v>0.20580000000000001</v>
      </c>
      <c r="E131">
        <v>1.7618</v>
      </c>
      <c r="F131">
        <v>2.0225</v>
      </c>
      <c r="G131">
        <v>7.1900000000000006E-2</v>
      </c>
      <c r="H131">
        <f t="shared" ref="H131:H147" si="6">G131*1000</f>
        <v>71.900000000000006</v>
      </c>
      <c r="I131">
        <v>4.9399999999999999E-2</v>
      </c>
      <c r="J131">
        <f t="shared" ref="J131:J147" si="7">I131*1000</f>
        <v>49.4</v>
      </c>
      <c r="K131">
        <f t="shared" ref="K131:K147" si="8">H131/J131</f>
        <v>1.4554655870445345</v>
      </c>
      <c r="L131">
        <v>7.3400000000000007E-2</v>
      </c>
      <c r="M131">
        <v>5.1299999999999998E-2</v>
      </c>
      <c r="N131">
        <v>176.6318</v>
      </c>
      <c r="O131">
        <v>0.87770000000000004</v>
      </c>
      <c r="P131">
        <v>7.4700000000000003E-2</v>
      </c>
      <c r="Q131">
        <v>784</v>
      </c>
      <c r="R131">
        <v>917</v>
      </c>
      <c r="S131">
        <v>15.708600000000001</v>
      </c>
      <c r="T131">
        <v>4.9399999999999999E-2</v>
      </c>
      <c r="U131">
        <v>1.4292</v>
      </c>
      <c r="V131">
        <v>0.69969999999999999</v>
      </c>
      <c r="W131">
        <v>0.95050000000000001</v>
      </c>
    </row>
    <row r="132" spans="1:23" x14ac:dyDescent="0.25">
      <c r="A132">
        <v>143</v>
      </c>
      <c r="B132">
        <v>2E-3</v>
      </c>
      <c r="C132">
        <v>0</v>
      </c>
      <c r="D132">
        <v>0.1696</v>
      </c>
      <c r="E132">
        <v>2.5482999999999998</v>
      </c>
      <c r="F132">
        <v>2.0427</v>
      </c>
      <c r="G132">
        <v>5.1700000000000003E-2</v>
      </c>
      <c r="H132">
        <f t="shared" si="6"/>
        <v>51.7</v>
      </c>
      <c r="I132">
        <v>4.4900000000000002E-2</v>
      </c>
      <c r="J132">
        <f t="shared" si="7"/>
        <v>44.900000000000006</v>
      </c>
      <c r="K132">
        <f t="shared" si="8"/>
        <v>1.1514476614699332</v>
      </c>
      <c r="L132">
        <v>5.3699999999999998E-2</v>
      </c>
      <c r="M132">
        <v>4.7899999999999998E-2</v>
      </c>
      <c r="N132">
        <v>10.272600000000001</v>
      </c>
      <c r="O132">
        <v>0.88280000000000003</v>
      </c>
      <c r="P132">
        <v>6.1699999999999998E-2</v>
      </c>
      <c r="Q132">
        <v>1134</v>
      </c>
      <c r="R132">
        <v>927</v>
      </c>
      <c r="S132">
        <v>33.1113</v>
      </c>
      <c r="T132">
        <v>4.4900000000000002E-2</v>
      </c>
      <c r="U132">
        <v>1.1193</v>
      </c>
      <c r="V132">
        <v>0.89339999999999997</v>
      </c>
      <c r="W132">
        <v>0.94789999999999996</v>
      </c>
    </row>
    <row r="133" spans="1:23" x14ac:dyDescent="0.25">
      <c r="A133">
        <v>146</v>
      </c>
      <c r="B133">
        <v>1.5E-3</v>
      </c>
      <c r="C133">
        <v>0</v>
      </c>
      <c r="D133">
        <v>0.14649999999999999</v>
      </c>
      <c r="E133">
        <v>2.2000000000000001E-3</v>
      </c>
      <c r="F133">
        <v>2.1011000000000002</v>
      </c>
      <c r="G133">
        <v>4.0399999999999998E-2</v>
      </c>
      <c r="H133">
        <f t="shared" si="6"/>
        <v>40.4</v>
      </c>
      <c r="I133">
        <v>4.2700000000000002E-2</v>
      </c>
      <c r="J133">
        <f t="shared" si="7"/>
        <v>42.7</v>
      </c>
      <c r="K133">
        <f t="shared" si="8"/>
        <v>0.94613583138173296</v>
      </c>
      <c r="L133">
        <v>4.4200000000000003E-2</v>
      </c>
      <c r="M133">
        <v>4.36E-2</v>
      </c>
      <c r="N133">
        <v>130.2158</v>
      </c>
      <c r="O133">
        <v>0.88649999999999995</v>
      </c>
      <c r="P133">
        <v>5.1200000000000002E-2</v>
      </c>
      <c r="Q133">
        <v>1</v>
      </c>
      <c r="R133">
        <v>935</v>
      </c>
      <c r="S133">
        <v>127.875</v>
      </c>
      <c r="T133">
        <v>4.0399999999999998E-2</v>
      </c>
      <c r="U133">
        <v>1.0146999999999999</v>
      </c>
      <c r="V133">
        <v>0.98550000000000004</v>
      </c>
      <c r="W133">
        <v>0.95850000000000002</v>
      </c>
    </row>
    <row r="134" spans="1:23" x14ac:dyDescent="0.25">
      <c r="A134">
        <v>147</v>
      </c>
      <c r="B134">
        <v>2.5999999999999999E-3</v>
      </c>
      <c r="C134">
        <v>0</v>
      </c>
      <c r="D134">
        <v>0.19889999999999999</v>
      </c>
      <c r="E134">
        <v>0.93710000000000004</v>
      </c>
      <c r="F134">
        <v>2.1011000000000002</v>
      </c>
      <c r="G134">
        <v>6.9699999999999998E-2</v>
      </c>
      <c r="H134">
        <f t="shared" si="6"/>
        <v>69.7</v>
      </c>
      <c r="I134">
        <v>4.4900000000000002E-2</v>
      </c>
      <c r="J134">
        <f t="shared" si="7"/>
        <v>44.900000000000006</v>
      </c>
      <c r="K134">
        <f t="shared" si="8"/>
        <v>1.5523385300668151</v>
      </c>
      <c r="L134">
        <v>7.5499999999999998E-2</v>
      </c>
      <c r="M134">
        <v>4.3999999999999997E-2</v>
      </c>
      <c r="N134">
        <v>169.31559999999999</v>
      </c>
      <c r="O134">
        <v>0.82740000000000002</v>
      </c>
      <c r="P134">
        <v>7.4700000000000003E-2</v>
      </c>
      <c r="Q134">
        <v>417</v>
      </c>
      <c r="R134">
        <v>938</v>
      </c>
      <c r="S134">
        <v>158.83869999999999</v>
      </c>
      <c r="T134">
        <v>4.4299999999999999E-2</v>
      </c>
      <c r="U134">
        <v>1.7174</v>
      </c>
      <c r="V134">
        <v>0.58230000000000004</v>
      </c>
      <c r="W134">
        <v>0.95909999999999995</v>
      </c>
    </row>
    <row r="135" spans="1:23" x14ac:dyDescent="0.25">
      <c r="A135">
        <v>148</v>
      </c>
      <c r="B135">
        <v>2.3E-3</v>
      </c>
      <c r="C135">
        <v>0</v>
      </c>
      <c r="D135">
        <v>0.1817</v>
      </c>
      <c r="E135">
        <v>3.2315</v>
      </c>
      <c r="F135">
        <v>2.1124000000000001</v>
      </c>
      <c r="G135">
        <v>5.3900000000000003E-2</v>
      </c>
      <c r="H135">
        <f t="shared" si="6"/>
        <v>53.900000000000006</v>
      </c>
      <c r="I135">
        <v>4.7199999999999999E-2</v>
      </c>
      <c r="J135">
        <f t="shared" si="7"/>
        <v>47.199999999999996</v>
      </c>
      <c r="K135">
        <f t="shared" si="8"/>
        <v>1.1419491525423731</v>
      </c>
      <c r="L135">
        <v>5.7799999999999997E-2</v>
      </c>
      <c r="M135">
        <v>5.04E-2</v>
      </c>
      <c r="N135">
        <v>172.4888</v>
      </c>
      <c r="O135">
        <v>0.87039999999999995</v>
      </c>
      <c r="P135">
        <v>6.25E-2</v>
      </c>
      <c r="Q135">
        <v>1439</v>
      </c>
      <c r="R135">
        <v>942</v>
      </c>
      <c r="S135">
        <v>142.3058</v>
      </c>
      <c r="T135">
        <v>4.7199999999999999E-2</v>
      </c>
      <c r="U135">
        <v>1.1455</v>
      </c>
      <c r="V135">
        <v>0.873</v>
      </c>
      <c r="W135">
        <v>0.95669999999999999</v>
      </c>
    </row>
    <row r="136" spans="1:23" x14ac:dyDescent="0.25">
      <c r="A136">
        <v>149</v>
      </c>
      <c r="B136">
        <v>1.1000000000000001E-3</v>
      </c>
      <c r="C136">
        <v>0</v>
      </c>
      <c r="D136">
        <v>0.1207</v>
      </c>
      <c r="E136">
        <v>3.3843000000000001</v>
      </c>
      <c r="F136">
        <v>2.1124000000000001</v>
      </c>
      <c r="G136">
        <v>3.5999999999999997E-2</v>
      </c>
      <c r="H136">
        <f t="shared" si="6"/>
        <v>36</v>
      </c>
      <c r="I136">
        <v>3.8199999999999998E-2</v>
      </c>
      <c r="J136">
        <f t="shared" si="7"/>
        <v>38.199999999999996</v>
      </c>
      <c r="K136">
        <f t="shared" si="8"/>
        <v>0.94240837696335089</v>
      </c>
      <c r="L136">
        <v>3.9699999999999999E-2</v>
      </c>
      <c r="M136">
        <v>3.4599999999999999E-2</v>
      </c>
      <c r="N136">
        <v>56.605200000000004</v>
      </c>
      <c r="O136">
        <v>0.93259999999999998</v>
      </c>
      <c r="P136">
        <v>4.3200000000000002E-2</v>
      </c>
      <c r="Q136">
        <v>1507</v>
      </c>
      <c r="R136">
        <v>955</v>
      </c>
      <c r="S136">
        <v>38.659799999999997</v>
      </c>
      <c r="T136">
        <v>3.5700000000000003E-2</v>
      </c>
      <c r="U136">
        <v>1.1460999999999999</v>
      </c>
      <c r="V136">
        <v>0.87250000000000005</v>
      </c>
      <c r="W136">
        <v>0.9325</v>
      </c>
    </row>
    <row r="137" spans="1:23" x14ac:dyDescent="0.25">
      <c r="A137">
        <v>150</v>
      </c>
      <c r="B137">
        <v>2.7000000000000001E-3</v>
      </c>
      <c r="C137">
        <v>0</v>
      </c>
      <c r="D137">
        <v>0.20030000000000001</v>
      </c>
      <c r="E137">
        <v>2.5415999999999999</v>
      </c>
      <c r="F137">
        <v>2.1303000000000001</v>
      </c>
      <c r="G137">
        <v>6.2899999999999998E-2</v>
      </c>
      <c r="H137">
        <f t="shared" si="6"/>
        <v>62.9</v>
      </c>
      <c r="I137">
        <v>5.1700000000000003E-2</v>
      </c>
      <c r="J137">
        <f t="shared" si="7"/>
        <v>51.7</v>
      </c>
      <c r="K137">
        <f t="shared" si="8"/>
        <v>1.2166344294003868</v>
      </c>
      <c r="L137">
        <v>6.6500000000000004E-2</v>
      </c>
      <c r="M137">
        <v>5.2600000000000001E-2</v>
      </c>
      <c r="N137">
        <v>175.80170000000001</v>
      </c>
      <c r="O137">
        <v>0.8609</v>
      </c>
      <c r="P137">
        <v>6.9199999999999998E-2</v>
      </c>
      <c r="Q137">
        <v>1132</v>
      </c>
      <c r="R137">
        <v>951</v>
      </c>
      <c r="S137">
        <v>144.24610000000001</v>
      </c>
      <c r="T137">
        <v>5.0200000000000002E-2</v>
      </c>
      <c r="U137">
        <v>1.2628999999999999</v>
      </c>
      <c r="V137">
        <v>0.79179999999999995</v>
      </c>
      <c r="W137">
        <v>0.94610000000000005</v>
      </c>
    </row>
    <row r="138" spans="1:23" x14ac:dyDescent="0.25">
      <c r="A138">
        <v>151</v>
      </c>
      <c r="B138">
        <v>3.8999999999999998E-3</v>
      </c>
      <c r="C138">
        <v>0</v>
      </c>
      <c r="D138">
        <v>0.2349</v>
      </c>
      <c r="E138">
        <v>0.10340000000000001</v>
      </c>
      <c r="F138">
        <v>2.1326000000000001</v>
      </c>
      <c r="G138">
        <v>6.7400000000000002E-2</v>
      </c>
      <c r="H138">
        <f t="shared" si="6"/>
        <v>67.400000000000006</v>
      </c>
      <c r="I138">
        <v>6.5199999999999994E-2</v>
      </c>
      <c r="J138">
        <f t="shared" si="7"/>
        <v>65.199999999999989</v>
      </c>
      <c r="K138">
        <f t="shared" si="8"/>
        <v>1.0337423312883438</v>
      </c>
      <c r="L138">
        <v>7.1900000000000006E-2</v>
      </c>
      <c r="M138">
        <v>6.9500000000000006E-2</v>
      </c>
      <c r="N138">
        <v>3.0257000000000001</v>
      </c>
      <c r="O138">
        <v>0.89370000000000005</v>
      </c>
      <c r="P138">
        <v>8.1000000000000003E-2</v>
      </c>
      <c r="Q138">
        <v>46</v>
      </c>
      <c r="R138">
        <v>973</v>
      </c>
      <c r="S138">
        <v>33.690100000000001</v>
      </c>
      <c r="T138">
        <v>6.5199999999999994E-2</v>
      </c>
      <c r="U138">
        <v>1.0353000000000001</v>
      </c>
      <c r="V138">
        <v>0.96589999999999998</v>
      </c>
      <c r="W138">
        <v>0.96640000000000004</v>
      </c>
    </row>
    <row r="139" spans="1:23" x14ac:dyDescent="0.25">
      <c r="A139">
        <v>152</v>
      </c>
      <c r="B139">
        <v>1.6999999999999999E-3</v>
      </c>
      <c r="C139">
        <v>0</v>
      </c>
      <c r="D139">
        <v>0.1542</v>
      </c>
      <c r="E139">
        <v>1.9708000000000001</v>
      </c>
      <c r="F139">
        <v>2.1505999999999998</v>
      </c>
      <c r="G139">
        <v>4.7199999999999999E-2</v>
      </c>
      <c r="H139">
        <f t="shared" si="6"/>
        <v>47.199999999999996</v>
      </c>
      <c r="I139">
        <v>3.8199999999999998E-2</v>
      </c>
      <c r="J139">
        <f t="shared" si="7"/>
        <v>38.199999999999996</v>
      </c>
      <c r="K139">
        <f t="shared" si="8"/>
        <v>1.2356020942408377</v>
      </c>
      <c r="L139">
        <v>5.1999999999999998E-2</v>
      </c>
      <c r="M139">
        <v>4.0399999999999998E-2</v>
      </c>
      <c r="N139">
        <v>170.71619999999999</v>
      </c>
      <c r="O139">
        <v>0.87250000000000005</v>
      </c>
      <c r="P139">
        <v>5.5800000000000002E-2</v>
      </c>
      <c r="Q139">
        <v>878</v>
      </c>
      <c r="R139">
        <v>957</v>
      </c>
      <c r="S139">
        <v>139.8991</v>
      </c>
      <c r="T139">
        <v>3.8199999999999998E-2</v>
      </c>
      <c r="U139">
        <v>1.2856000000000001</v>
      </c>
      <c r="V139">
        <v>0.77790000000000004</v>
      </c>
      <c r="W139">
        <v>0.96319999999999995</v>
      </c>
    </row>
    <row r="140" spans="1:23" x14ac:dyDescent="0.25">
      <c r="A140">
        <v>153</v>
      </c>
      <c r="B140">
        <v>1.6000000000000001E-3</v>
      </c>
      <c r="C140">
        <v>0</v>
      </c>
      <c r="D140">
        <v>0.1542</v>
      </c>
      <c r="E140">
        <v>2.7145999999999999</v>
      </c>
      <c r="F140">
        <v>2.1640000000000001</v>
      </c>
      <c r="G140">
        <v>4.4900000000000002E-2</v>
      </c>
      <c r="H140">
        <f t="shared" si="6"/>
        <v>44.900000000000006</v>
      </c>
      <c r="I140">
        <v>4.0399999999999998E-2</v>
      </c>
      <c r="J140">
        <f t="shared" si="7"/>
        <v>40.4</v>
      </c>
      <c r="K140">
        <f t="shared" si="8"/>
        <v>1.1113861386138615</v>
      </c>
      <c r="L140">
        <v>4.7600000000000003E-2</v>
      </c>
      <c r="M140">
        <v>4.2999999999999997E-2</v>
      </c>
      <c r="N140">
        <v>12.187200000000001</v>
      </c>
      <c r="O140">
        <v>0.84850000000000003</v>
      </c>
      <c r="P140">
        <v>5.4899999999999997E-2</v>
      </c>
      <c r="Q140">
        <v>1208</v>
      </c>
      <c r="R140">
        <v>980</v>
      </c>
      <c r="S140">
        <v>34.991999999999997</v>
      </c>
      <c r="T140">
        <v>4.0399999999999998E-2</v>
      </c>
      <c r="U140">
        <v>1.1066</v>
      </c>
      <c r="V140">
        <v>0.90369999999999995</v>
      </c>
      <c r="W140">
        <v>0.94359999999999999</v>
      </c>
    </row>
    <row r="141" spans="1:23" x14ac:dyDescent="0.25">
      <c r="A141">
        <v>154</v>
      </c>
      <c r="B141">
        <v>1.6000000000000001E-3</v>
      </c>
      <c r="C141">
        <v>0</v>
      </c>
      <c r="D141">
        <v>0.154</v>
      </c>
      <c r="E141">
        <v>3.3169</v>
      </c>
      <c r="F141">
        <v>2.1798000000000002</v>
      </c>
      <c r="G141">
        <v>4.2700000000000002E-2</v>
      </c>
      <c r="H141">
        <f t="shared" si="6"/>
        <v>42.7</v>
      </c>
      <c r="I141">
        <v>4.7199999999999999E-2</v>
      </c>
      <c r="J141">
        <f t="shared" si="7"/>
        <v>47.199999999999996</v>
      </c>
      <c r="K141">
        <f t="shared" si="8"/>
        <v>0.90466101694915269</v>
      </c>
      <c r="L141">
        <v>5.1400000000000001E-2</v>
      </c>
      <c r="M141">
        <v>3.8399999999999997E-2</v>
      </c>
      <c r="N141">
        <v>117.9385</v>
      </c>
      <c r="O141">
        <v>0.82150000000000001</v>
      </c>
      <c r="P141">
        <v>5.5599999999999997E-2</v>
      </c>
      <c r="Q141">
        <v>1478</v>
      </c>
      <c r="R141">
        <v>970</v>
      </c>
      <c r="S141">
        <v>133.36340000000001</v>
      </c>
      <c r="T141">
        <v>4.0399999999999998E-2</v>
      </c>
      <c r="U141">
        <v>1.3372999999999999</v>
      </c>
      <c r="V141">
        <v>0.74780000000000002</v>
      </c>
      <c r="W141">
        <v>0.91100000000000003</v>
      </c>
    </row>
    <row r="142" spans="1:23" x14ac:dyDescent="0.25">
      <c r="A142">
        <v>155</v>
      </c>
      <c r="B142">
        <v>1.5E-3</v>
      </c>
      <c r="C142">
        <v>0</v>
      </c>
      <c r="D142">
        <v>0.1421</v>
      </c>
      <c r="E142">
        <v>0.61350000000000005</v>
      </c>
      <c r="F142">
        <v>2.2044999999999999</v>
      </c>
      <c r="G142">
        <v>4.0399999999999998E-2</v>
      </c>
      <c r="H142">
        <f t="shared" si="6"/>
        <v>40.4</v>
      </c>
      <c r="I142">
        <v>4.0399999999999998E-2</v>
      </c>
      <c r="J142">
        <f t="shared" si="7"/>
        <v>40.4</v>
      </c>
      <c r="K142">
        <f t="shared" si="8"/>
        <v>1</v>
      </c>
      <c r="L142">
        <v>4.41E-2</v>
      </c>
      <c r="M142">
        <v>4.36E-2</v>
      </c>
      <c r="N142">
        <v>173.39259999999999</v>
      </c>
      <c r="O142">
        <v>0.94030000000000002</v>
      </c>
      <c r="P142">
        <v>4.99E-2</v>
      </c>
      <c r="Q142">
        <v>273</v>
      </c>
      <c r="R142">
        <v>997</v>
      </c>
      <c r="S142">
        <v>35.837699999999998</v>
      </c>
      <c r="T142">
        <v>4.0399999999999998E-2</v>
      </c>
      <c r="U142">
        <v>1.0103</v>
      </c>
      <c r="V142">
        <v>0.98980000000000001</v>
      </c>
      <c r="W142">
        <v>0.97240000000000004</v>
      </c>
    </row>
    <row r="143" spans="1:23" x14ac:dyDescent="0.25">
      <c r="A143">
        <v>156</v>
      </c>
      <c r="B143">
        <v>2.5999999999999999E-3</v>
      </c>
      <c r="C143">
        <v>0</v>
      </c>
      <c r="D143">
        <v>0.19259999999999999</v>
      </c>
      <c r="E143">
        <v>1.1551</v>
      </c>
      <c r="F143">
        <v>2.2090000000000001</v>
      </c>
      <c r="G143">
        <v>6.0699999999999997E-2</v>
      </c>
      <c r="H143">
        <f t="shared" si="6"/>
        <v>60.699999999999996</v>
      </c>
      <c r="I143">
        <v>4.9399999999999999E-2</v>
      </c>
      <c r="J143">
        <f t="shared" si="7"/>
        <v>49.4</v>
      </c>
      <c r="K143">
        <f t="shared" si="8"/>
        <v>1.2287449392712551</v>
      </c>
      <c r="L143">
        <v>6.4199999999999993E-2</v>
      </c>
      <c r="M143">
        <v>5.0999999999999997E-2</v>
      </c>
      <c r="N143">
        <v>178.78299999999999</v>
      </c>
      <c r="O143">
        <v>0.87090000000000001</v>
      </c>
      <c r="P143">
        <v>6.6699999999999995E-2</v>
      </c>
      <c r="Q143">
        <v>515</v>
      </c>
      <c r="R143">
        <v>1003</v>
      </c>
      <c r="S143">
        <v>32.619199999999999</v>
      </c>
      <c r="T143">
        <v>4.8800000000000003E-2</v>
      </c>
      <c r="U143">
        <v>1.2594000000000001</v>
      </c>
      <c r="V143">
        <v>0.79400000000000004</v>
      </c>
      <c r="W143">
        <v>0.95050000000000001</v>
      </c>
    </row>
    <row r="144" spans="1:23" x14ac:dyDescent="0.25">
      <c r="A144">
        <v>157</v>
      </c>
      <c r="B144">
        <v>1.2999999999999999E-3</v>
      </c>
      <c r="C144">
        <v>0</v>
      </c>
      <c r="D144">
        <v>0.1381</v>
      </c>
      <c r="E144">
        <v>2.7347999999999999</v>
      </c>
      <c r="F144">
        <v>2.218</v>
      </c>
      <c r="G144">
        <v>4.7199999999999999E-2</v>
      </c>
      <c r="H144">
        <f t="shared" si="6"/>
        <v>47.199999999999996</v>
      </c>
      <c r="I144">
        <v>3.3700000000000001E-2</v>
      </c>
      <c r="J144">
        <f t="shared" si="7"/>
        <v>33.700000000000003</v>
      </c>
      <c r="K144">
        <f t="shared" si="8"/>
        <v>1.4005934718100888</v>
      </c>
      <c r="L144">
        <v>4.9700000000000001E-2</v>
      </c>
      <c r="M144">
        <v>3.2899999999999999E-2</v>
      </c>
      <c r="N144">
        <v>0.48720000000000002</v>
      </c>
      <c r="O144">
        <v>0.84509999999999996</v>
      </c>
      <c r="P144">
        <v>5.0500000000000003E-2</v>
      </c>
      <c r="Q144">
        <v>1217</v>
      </c>
      <c r="R144">
        <v>998</v>
      </c>
      <c r="S144">
        <v>20.854500000000002</v>
      </c>
      <c r="T144">
        <v>3.3399999999999999E-2</v>
      </c>
      <c r="U144">
        <v>1.5113000000000001</v>
      </c>
      <c r="V144">
        <v>0.66169999999999995</v>
      </c>
      <c r="W144">
        <v>0.93210000000000004</v>
      </c>
    </row>
    <row r="145" spans="1:23" x14ac:dyDescent="0.25">
      <c r="A145">
        <v>158</v>
      </c>
      <c r="B145">
        <v>1.5E-3</v>
      </c>
      <c r="C145">
        <v>0</v>
      </c>
      <c r="D145">
        <v>0.1452</v>
      </c>
      <c r="E145">
        <v>1.3190999999999999</v>
      </c>
      <c r="F145">
        <v>2.2202000000000002</v>
      </c>
      <c r="G145">
        <v>4.4900000000000002E-2</v>
      </c>
      <c r="H145">
        <f t="shared" si="6"/>
        <v>44.900000000000006</v>
      </c>
      <c r="I145">
        <v>3.8199999999999998E-2</v>
      </c>
      <c r="J145">
        <f t="shared" si="7"/>
        <v>38.199999999999996</v>
      </c>
      <c r="K145">
        <f t="shared" si="8"/>
        <v>1.1753926701570683</v>
      </c>
      <c r="L145">
        <v>4.8000000000000001E-2</v>
      </c>
      <c r="M145">
        <v>3.9600000000000003E-2</v>
      </c>
      <c r="N145">
        <v>172.3252</v>
      </c>
      <c r="O145">
        <v>0.89059999999999995</v>
      </c>
      <c r="P145">
        <v>5.1299999999999998E-2</v>
      </c>
      <c r="Q145">
        <v>587</v>
      </c>
      <c r="R145">
        <v>1002</v>
      </c>
      <c r="S145">
        <v>28.8108</v>
      </c>
      <c r="T145">
        <v>3.7900000000000003E-2</v>
      </c>
      <c r="U145">
        <v>1.2123999999999999</v>
      </c>
      <c r="V145">
        <v>0.82479999999999998</v>
      </c>
      <c r="W145">
        <v>0.94720000000000004</v>
      </c>
    </row>
    <row r="146" spans="1:23" x14ac:dyDescent="0.25">
      <c r="A146">
        <v>159</v>
      </c>
      <c r="B146">
        <v>2.5999999999999999E-3</v>
      </c>
      <c r="C146">
        <v>0</v>
      </c>
      <c r="D146">
        <v>0.18859999999999999</v>
      </c>
      <c r="E146">
        <v>6.5199999999999994E-2</v>
      </c>
      <c r="F146">
        <v>2.2360000000000002</v>
      </c>
      <c r="G146">
        <v>5.1700000000000003E-2</v>
      </c>
      <c r="H146">
        <f t="shared" si="6"/>
        <v>51.7</v>
      </c>
      <c r="I146">
        <v>5.8400000000000001E-2</v>
      </c>
      <c r="J146">
        <f t="shared" si="7"/>
        <v>58.4</v>
      </c>
      <c r="K146">
        <f t="shared" si="8"/>
        <v>0.88527397260273977</v>
      </c>
      <c r="L146">
        <v>6.1100000000000002E-2</v>
      </c>
      <c r="M146">
        <v>5.3400000000000003E-2</v>
      </c>
      <c r="N146">
        <v>77.298699999999997</v>
      </c>
      <c r="O146">
        <v>0.90600000000000003</v>
      </c>
      <c r="P146">
        <v>6.5600000000000006E-2</v>
      </c>
      <c r="Q146">
        <v>29</v>
      </c>
      <c r="R146">
        <v>1019</v>
      </c>
      <c r="S146">
        <v>38.046999999999997</v>
      </c>
      <c r="T146">
        <v>5.1700000000000003E-2</v>
      </c>
      <c r="U146">
        <v>1.1442000000000001</v>
      </c>
      <c r="V146">
        <v>0.874</v>
      </c>
      <c r="W146">
        <v>0.96030000000000004</v>
      </c>
    </row>
    <row r="147" spans="1:23" x14ac:dyDescent="0.25">
      <c r="A147">
        <v>160</v>
      </c>
      <c r="B147">
        <v>5.0000000000000001E-4</v>
      </c>
      <c r="C147">
        <v>0</v>
      </c>
      <c r="D147">
        <v>0.1159</v>
      </c>
      <c r="E147">
        <v>2.2360000000000002</v>
      </c>
      <c r="F147">
        <v>2.2854000000000001</v>
      </c>
      <c r="G147">
        <v>5.1700000000000003E-2</v>
      </c>
      <c r="H147">
        <f t="shared" si="6"/>
        <v>51.7</v>
      </c>
      <c r="I147">
        <v>1.35E-2</v>
      </c>
      <c r="J147">
        <f t="shared" si="7"/>
        <v>13.5</v>
      </c>
      <c r="K147">
        <f t="shared" si="8"/>
        <v>3.8296296296296299</v>
      </c>
      <c r="L147">
        <v>5.3699999999999998E-2</v>
      </c>
      <c r="M147">
        <v>1.2800000000000001E-2</v>
      </c>
      <c r="N147">
        <v>178.2807</v>
      </c>
      <c r="O147">
        <v>0.50590000000000002</v>
      </c>
      <c r="P147">
        <v>5.21E-2</v>
      </c>
      <c r="Q147">
        <v>995</v>
      </c>
      <c r="R147">
        <v>1023</v>
      </c>
      <c r="S147">
        <v>7.4314</v>
      </c>
      <c r="T147">
        <v>1.35E-2</v>
      </c>
      <c r="U147">
        <v>4.1974999999999998</v>
      </c>
      <c r="V147">
        <v>0.2382</v>
      </c>
      <c r="W147">
        <v>0.91059999999999997</v>
      </c>
    </row>
    <row r="148" spans="1:23" x14ac:dyDescent="0.25">
      <c r="G148" t="s">
        <v>20</v>
      </c>
      <c r="H148" s="2">
        <f>AVERAGE(H91:H147)</f>
        <v>51.287719298245612</v>
      </c>
      <c r="J148" s="3">
        <f t="shared" ref="J148:K148" si="9">AVERAGE(J91:J147)</f>
        <v>45.129824561403517</v>
      </c>
      <c r="K148" s="3">
        <f t="shared" si="9"/>
        <v>1.1834035396463087</v>
      </c>
    </row>
    <row r="149" spans="1:23" ht="45" x14ac:dyDescent="0.25">
      <c r="G149" s="4" t="s">
        <v>21</v>
      </c>
      <c r="H149" s="2">
        <f>_xlfn.STDEV.P(H91:H147)</f>
        <v>11.404509267851246</v>
      </c>
      <c r="J149" s="3">
        <f t="shared" ref="J149:K149" si="10">_xlfn.STDEV.P(J91:J147)</f>
        <v>10.015636282566325</v>
      </c>
      <c r="K149" s="3">
        <f t="shared" si="10"/>
        <v>0.41840908649398051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8723e10-e6aa-459b-9526-3e95a54d97d0" xsi:nil="true"/>
    <lcf76f155ced4ddcb4097134ff3c332f xmlns="70881abf-187e-4973-aa0b-0f9dc352e98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23C757AAD9E74B95D089599FDD5DC0" ma:contentTypeVersion="16" ma:contentTypeDescription="Create a new document." ma:contentTypeScope="" ma:versionID="fef970704d0ca4df0f4f408baf9ea63b">
  <xsd:schema xmlns:xsd="http://www.w3.org/2001/XMLSchema" xmlns:xs="http://www.w3.org/2001/XMLSchema" xmlns:p="http://schemas.microsoft.com/office/2006/metadata/properties" xmlns:ns2="b8723e10-e6aa-459b-9526-3e95a54d97d0" xmlns:ns3="70881abf-187e-4973-aa0b-0f9dc352e983" targetNamespace="http://schemas.microsoft.com/office/2006/metadata/properties" ma:root="true" ma:fieldsID="fe80d7ddd6f8f55f62386e79176f2800" ns2:_="" ns3:_="">
    <xsd:import namespace="b8723e10-e6aa-459b-9526-3e95a54d97d0"/>
    <xsd:import namespace="70881abf-187e-4973-aa0b-0f9dc352e98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723e10-e6aa-459b-9526-3e95a54d97d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7a7f340-1746-4f21-8f07-321e96f672d3}" ma:internalName="TaxCatchAll" ma:showField="CatchAllData" ma:web="b8723e10-e6aa-459b-9526-3e95a54d97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81abf-187e-4973-aa0b-0f9dc352e9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C0BE9B-F741-4F2D-B1BD-1759566EB532}">
  <ds:schemaRefs>
    <ds:schemaRef ds:uri="http://schemas.microsoft.com/office/2006/metadata/properties"/>
    <ds:schemaRef ds:uri="http://schemas.microsoft.com/office/infopath/2007/PartnerControls"/>
    <ds:schemaRef ds:uri="b8723e10-e6aa-459b-9526-3e95a54d97d0"/>
    <ds:schemaRef ds:uri="70881abf-187e-4973-aa0b-0f9dc352e983"/>
  </ds:schemaRefs>
</ds:datastoreItem>
</file>

<file path=customXml/itemProps2.xml><?xml version="1.0" encoding="utf-8"?>
<ds:datastoreItem xmlns:ds="http://schemas.openxmlformats.org/officeDocument/2006/customXml" ds:itemID="{F4537A93-2935-4896-A632-482E63C6C6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B105CBB-3EEE-4E88-921B-5ABCE85B7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723e10-e6aa-459b-9526-3e95a54d97d0"/>
    <ds:schemaRef ds:uri="70881abf-187e-4973-aa0b-0f9dc352e9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cf48d45-3ddb-4389-a9c1-c115526eb52e}" enabled="0" method="" siteId="{7cf48d45-3ddb-4389-a9c1-c115526eb52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RawGrainData_MBE3-260413A-MM</vt:lpstr>
      <vt:lpstr>FilterGrainData_MBE3260413AMM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Molly McDonough</dc:creator>
  <cp:lastModifiedBy>McDonough, Molly Rose</cp:lastModifiedBy>
  <dcterms:created xsi:type="dcterms:W3CDTF">2015-06-05T18:17:20Z</dcterms:created>
  <dcterms:modified xsi:type="dcterms:W3CDTF">2026-05-20T14:12:56Z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0x0101005623C757AAD9E74B95D089599FDD5DC0</vt:lpwstr>
  </property>
  <property fmtid="{D5CDD505-2E9C-101B-9397-08002B2CF9AE}" pid="3" name="MediaServiceImageTags">
    <vt:lpwstr/>
  </property>
</Properties>
</file>