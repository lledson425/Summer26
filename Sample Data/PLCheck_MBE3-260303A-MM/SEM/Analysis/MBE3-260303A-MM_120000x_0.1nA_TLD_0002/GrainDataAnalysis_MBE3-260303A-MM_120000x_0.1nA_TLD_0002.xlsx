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.sharepoint.com/sites/Lawlab/Shared Documents/General/Molly/In(Ga)Sb SAQDs/Sample Data/MBE3-260303A-MM/SEM/Analysis/MBE3-260303A-MM_120000x_0.1nA_TLD_0002/"/>
    </mc:Choice>
  </mc:AlternateContent>
  <xr:revisionPtr revIDLastSave="51" documentId="8_{5F07D6BC-6645-46B1-920D-20E152695AAC}" xr6:coauthVersionLast="47" xr6:coauthVersionMax="47" xr10:uidLastSave="{342FC364-5142-4D55-AF0F-EC1944BEFC87}"/>
  <bookViews>
    <workbookView xWindow="-28920" yWindow="-120" windowWidth="29040" windowHeight="15720" xr2:uid="{CB9A26BF-09FB-41E8-8081-D0C2D485D67C}"/>
  </bookViews>
  <sheets>
    <sheet name="FilteredGrainData_MBE3260303AMM" sheetId="1" r:id="rId1"/>
    <sheet name="RawGrainData_MBE3260303AM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1" l="1"/>
  <c r="K60" i="1"/>
  <c r="H60" i="1"/>
  <c r="J59" i="1"/>
  <c r="K59" i="1"/>
  <c r="H59" i="1"/>
  <c r="K7" i="1"/>
  <c r="K14" i="1"/>
  <c r="K17" i="1"/>
  <c r="K18" i="1"/>
  <c r="K19" i="1"/>
  <c r="K20" i="1"/>
  <c r="K21" i="1"/>
  <c r="K22" i="1"/>
  <c r="K34" i="1"/>
  <c r="K37" i="1"/>
  <c r="K38" i="1"/>
  <c r="K39" i="1"/>
  <c r="K40" i="1"/>
  <c r="K41" i="1"/>
  <c r="K42" i="1"/>
  <c r="K54" i="1"/>
  <c r="K57" i="1"/>
  <c r="K58" i="1"/>
  <c r="K2" i="1"/>
  <c r="J3" i="1"/>
  <c r="J4" i="1"/>
  <c r="J5" i="1"/>
  <c r="J6" i="1"/>
  <c r="J7" i="1"/>
  <c r="J8" i="1"/>
  <c r="J9" i="1"/>
  <c r="J10" i="1"/>
  <c r="K10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K30" i="1" s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K50" i="1" s="1"/>
  <c r="J51" i="1"/>
  <c r="J52" i="1"/>
  <c r="J53" i="1"/>
  <c r="J54" i="1"/>
  <c r="J55" i="1"/>
  <c r="J56" i="1"/>
  <c r="J57" i="1"/>
  <c r="J58" i="1"/>
  <c r="J2" i="1"/>
  <c r="H3" i="1"/>
  <c r="K3" i="1" s="1"/>
  <c r="H4" i="1"/>
  <c r="K4" i="1" s="1"/>
  <c r="H5" i="1"/>
  <c r="K5" i="1" s="1"/>
  <c r="H6" i="1"/>
  <c r="K6" i="1" s="1"/>
  <c r="H7" i="1"/>
  <c r="H8" i="1"/>
  <c r="K8" i="1" s="1"/>
  <c r="H9" i="1"/>
  <c r="K9" i="1" s="1"/>
  <c r="H10" i="1"/>
  <c r="H11" i="1"/>
  <c r="K11" i="1" s="1"/>
  <c r="H12" i="1"/>
  <c r="K12" i="1" s="1"/>
  <c r="H13" i="1"/>
  <c r="K13" i="1" s="1"/>
  <c r="H14" i="1"/>
  <c r="H15" i="1"/>
  <c r="K15" i="1" s="1"/>
  <c r="H16" i="1"/>
  <c r="K16" i="1" s="1"/>
  <c r="H17" i="1"/>
  <c r="H18" i="1"/>
  <c r="H19" i="1"/>
  <c r="H20" i="1"/>
  <c r="H21" i="1"/>
  <c r="H22" i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H31" i="1"/>
  <c r="K31" i="1" s="1"/>
  <c r="H32" i="1"/>
  <c r="K32" i="1" s="1"/>
  <c r="H33" i="1"/>
  <c r="K33" i="1" s="1"/>
  <c r="H34" i="1"/>
  <c r="H35" i="1"/>
  <c r="K35" i="1" s="1"/>
  <c r="H36" i="1"/>
  <c r="K36" i="1" s="1"/>
  <c r="H37" i="1"/>
  <c r="H38" i="1"/>
  <c r="H39" i="1"/>
  <c r="H40" i="1"/>
  <c r="H41" i="1"/>
  <c r="H42" i="1"/>
  <c r="H43" i="1"/>
  <c r="K43" i="1" s="1"/>
  <c r="H44" i="1"/>
  <c r="K44" i="1" s="1"/>
  <c r="H45" i="1"/>
  <c r="K45" i="1" s="1"/>
  <c r="H46" i="1"/>
  <c r="K46" i="1" s="1"/>
  <c r="H47" i="1"/>
  <c r="K47" i="1" s="1"/>
  <c r="H48" i="1"/>
  <c r="K48" i="1" s="1"/>
  <c r="H49" i="1"/>
  <c r="K49" i="1" s="1"/>
  <c r="H50" i="1"/>
  <c r="H51" i="1"/>
  <c r="K51" i="1" s="1"/>
  <c r="H52" i="1"/>
  <c r="K52" i="1" s="1"/>
  <c r="H53" i="1"/>
  <c r="K53" i="1" s="1"/>
  <c r="H54" i="1"/>
  <c r="H55" i="1"/>
  <c r="K55" i="1" s="1"/>
  <c r="H56" i="1"/>
  <c r="K56" i="1" s="1"/>
  <c r="H57" i="1"/>
  <c r="H58" i="1"/>
  <c r="H2" i="1"/>
</calcChain>
</file>

<file path=xl/sharedStrings.xml><?xml version="1.0" encoding="utf-8"?>
<sst xmlns="http://schemas.openxmlformats.org/spreadsheetml/2006/main" count="45" uniqueCount="25">
  <si>
    <t xml:space="preserve"> </t>
  </si>
  <si>
    <t>Area</t>
  </si>
  <si>
    <t>StdDev</t>
  </si>
  <si>
    <t>Perim.</t>
  </si>
  <si>
    <t>BX</t>
  </si>
  <si>
    <t>BY</t>
  </si>
  <si>
    <t>Width</t>
  </si>
  <si>
    <t>Height</t>
  </si>
  <si>
    <t>Major</t>
  </si>
  <si>
    <t>Minor</t>
  </si>
  <si>
    <t>Angle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</si>
  <si>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</si>
  <si>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</si>
  <si>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</si>
  <si>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</si>
  <si>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</si>
  <si>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</si>
  <si>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</si>
  <si>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</si>
  <si>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</si>
  <si>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Width (nm)</t>
  </si>
  <si>
    <t>Height (nm)</t>
  </si>
  <si>
    <t>Width/Height Ratio</t>
  </si>
  <si>
    <t>Average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</si>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</sst>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2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2084-D121-4D06-AE78-70BE0BB01DF6}">
  <dimension ref="A1:W60"/>
  <sheetViews>
    <sheetView tabSelected="1" workbookViewId="0">
      <selection activeCell="K1" sqref="K1"/>
    </sheetView>
  </sheetViews>
  <sheetFormatPr defaultRowHeight="15" x14ac:dyDescent="0.25"/>
  <cols>
    <col min="8" max="8" width="9.5703125" bestFit="1" customWidth="1"/>
    <col min="11" max="11" width="9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21</v>
      </c>
      <c r="K1" t="s">
        <v>22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1</v>
      </c>
      <c r="B2">
        <v>3.8E-3</v>
      </c>
      <c r="C2">
        <v>0</v>
      </c>
      <c r="D2">
        <v>0.24049999999999999</v>
      </c>
      <c r="E2">
        <v>3.2292000000000001</v>
      </c>
      <c r="F2">
        <v>9.2100000000000001E-2</v>
      </c>
      <c r="G2">
        <v>7.8700000000000006E-2</v>
      </c>
      <c r="H2">
        <f t="shared" ref="H2:H33" si="0">G2*1000</f>
        <v>78.7</v>
      </c>
      <c r="I2">
        <v>5.62E-2</v>
      </c>
      <c r="J2">
        <f t="shared" ref="J2:J33" si="1">I2*1000</f>
        <v>56.2</v>
      </c>
      <c r="K2" s="2">
        <f t="shared" ref="K2:K33" si="2">H2/J2</f>
        <v>1.4003558718861209</v>
      </c>
      <c r="L2">
        <v>8.2900000000000001E-2</v>
      </c>
      <c r="M2">
        <v>5.8999999999999997E-2</v>
      </c>
      <c r="N2">
        <v>4.8813000000000004</v>
      </c>
      <c r="O2">
        <v>0.83509999999999995</v>
      </c>
      <c r="P2">
        <v>8.5599999999999996E-2</v>
      </c>
      <c r="Q2">
        <v>1437</v>
      </c>
      <c r="R2">
        <v>62</v>
      </c>
      <c r="S2">
        <v>23.198599999999999</v>
      </c>
      <c r="T2">
        <v>5.62E-2</v>
      </c>
      <c r="U2">
        <v>1.4038999999999999</v>
      </c>
      <c r="V2">
        <v>0.71230000000000004</v>
      </c>
      <c r="W2">
        <v>0.95179999999999998</v>
      </c>
    </row>
    <row r="3" spans="1:23" x14ac:dyDescent="0.25">
      <c r="A3">
        <v>2</v>
      </c>
      <c r="B3">
        <v>1.2999999999999999E-3</v>
      </c>
      <c r="C3">
        <v>0</v>
      </c>
      <c r="D3">
        <v>0.1368</v>
      </c>
      <c r="E3">
        <v>0.55510000000000004</v>
      </c>
      <c r="F3">
        <v>0.1101</v>
      </c>
      <c r="G3">
        <v>4.7199999999999999E-2</v>
      </c>
      <c r="H3">
        <f t="shared" si="0"/>
        <v>47.199999999999996</v>
      </c>
      <c r="I3">
        <v>3.3700000000000001E-2</v>
      </c>
      <c r="J3">
        <f t="shared" si="1"/>
        <v>33.700000000000003</v>
      </c>
      <c r="K3" s="2">
        <f t="shared" si="2"/>
        <v>1.4005934718100888</v>
      </c>
      <c r="L3">
        <v>4.7899999999999998E-2</v>
      </c>
      <c r="M3">
        <v>3.4500000000000003E-2</v>
      </c>
      <c r="N3">
        <v>19.6602</v>
      </c>
      <c r="O3">
        <v>0.87160000000000004</v>
      </c>
      <c r="P3">
        <v>5.2400000000000002E-2</v>
      </c>
      <c r="Q3">
        <v>247</v>
      </c>
      <c r="R3">
        <v>62</v>
      </c>
      <c r="S3">
        <v>30.963799999999999</v>
      </c>
      <c r="T3">
        <v>3.3700000000000001E-2</v>
      </c>
      <c r="U3">
        <v>1.3873</v>
      </c>
      <c r="V3">
        <v>0.7208</v>
      </c>
      <c r="W3">
        <v>0.95189999999999997</v>
      </c>
    </row>
    <row r="4" spans="1:23" x14ac:dyDescent="0.25">
      <c r="A4">
        <v>3</v>
      </c>
      <c r="B4">
        <v>2.3999999999999998E-3</v>
      </c>
      <c r="C4">
        <v>0</v>
      </c>
      <c r="D4">
        <v>0.183</v>
      </c>
      <c r="E4">
        <v>1.8134999999999999</v>
      </c>
      <c r="F4">
        <v>0.11459999999999999</v>
      </c>
      <c r="G4">
        <v>6.0699999999999997E-2</v>
      </c>
      <c r="H4">
        <f t="shared" si="0"/>
        <v>60.699999999999996</v>
      </c>
      <c r="I4">
        <v>4.2700000000000002E-2</v>
      </c>
      <c r="J4">
        <f t="shared" si="1"/>
        <v>42.7</v>
      </c>
      <c r="K4" s="2">
        <f t="shared" si="2"/>
        <v>1.4215456674473066</v>
      </c>
      <c r="L4">
        <v>6.4500000000000002E-2</v>
      </c>
      <c r="M4">
        <v>4.65E-2</v>
      </c>
      <c r="N4">
        <v>4.5266000000000002</v>
      </c>
      <c r="O4">
        <v>0.88260000000000005</v>
      </c>
      <c r="P4">
        <v>6.6100000000000006E-2</v>
      </c>
      <c r="Q4">
        <v>808</v>
      </c>
      <c r="R4">
        <v>69</v>
      </c>
      <c r="S4">
        <v>35.311199999999999</v>
      </c>
      <c r="T4">
        <v>4.2700000000000002E-2</v>
      </c>
      <c r="U4">
        <v>1.3871</v>
      </c>
      <c r="V4">
        <v>0.72089999999999999</v>
      </c>
      <c r="W4">
        <v>0.9718</v>
      </c>
    </row>
    <row r="5" spans="1:23" x14ac:dyDescent="0.25">
      <c r="A5">
        <v>4</v>
      </c>
      <c r="B5">
        <v>1.6999999999999999E-3</v>
      </c>
      <c r="C5">
        <v>0</v>
      </c>
      <c r="D5">
        <v>0.15740000000000001</v>
      </c>
      <c r="E5">
        <v>1.3392999999999999</v>
      </c>
      <c r="F5">
        <v>0.12809999999999999</v>
      </c>
      <c r="G5">
        <v>4.9399999999999999E-2</v>
      </c>
      <c r="H5">
        <f t="shared" si="0"/>
        <v>49.4</v>
      </c>
      <c r="I5">
        <v>4.0399999999999998E-2</v>
      </c>
      <c r="J5">
        <f t="shared" si="1"/>
        <v>40.4</v>
      </c>
      <c r="K5" s="2">
        <f t="shared" si="2"/>
        <v>1.2227722772277227</v>
      </c>
      <c r="L5">
        <v>5.0900000000000001E-2</v>
      </c>
      <c r="M5">
        <v>4.24E-2</v>
      </c>
      <c r="N5">
        <v>6.8461999999999996</v>
      </c>
      <c r="O5">
        <v>0.86070000000000002</v>
      </c>
      <c r="P5">
        <v>5.67E-2</v>
      </c>
      <c r="Q5">
        <v>597</v>
      </c>
      <c r="R5">
        <v>74</v>
      </c>
      <c r="S5">
        <v>33.690100000000001</v>
      </c>
      <c r="T5">
        <v>4.0399999999999998E-2</v>
      </c>
      <c r="U5">
        <v>1.1991000000000001</v>
      </c>
      <c r="V5">
        <v>0.83389999999999997</v>
      </c>
      <c r="W5">
        <v>0.93720000000000003</v>
      </c>
    </row>
    <row r="6" spans="1:23" x14ac:dyDescent="0.25">
      <c r="A6">
        <v>5</v>
      </c>
      <c r="B6">
        <v>1.6999999999999999E-3</v>
      </c>
      <c r="C6">
        <v>0</v>
      </c>
      <c r="D6">
        <v>0.15340000000000001</v>
      </c>
      <c r="E6">
        <v>2.9954999999999998</v>
      </c>
      <c r="F6">
        <v>0.1371</v>
      </c>
      <c r="G6">
        <v>4.4900000000000002E-2</v>
      </c>
      <c r="H6">
        <f t="shared" si="0"/>
        <v>44.900000000000006</v>
      </c>
      <c r="I6">
        <v>4.4900000000000002E-2</v>
      </c>
      <c r="J6">
        <f t="shared" si="1"/>
        <v>44.900000000000006</v>
      </c>
      <c r="K6" s="2">
        <f t="shared" si="2"/>
        <v>1</v>
      </c>
      <c r="L6">
        <v>4.7699999999999999E-2</v>
      </c>
      <c r="M6">
        <v>4.4600000000000001E-2</v>
      </c>
      <c r="N6">
        <v>73.563400000000001</v>
      </c>
      <c r="O6">
        <v>0.8921</v>
      </c>
      <c r="P6">
        <v>5.2999999999999999E-2</v>
      </c>
      <c r="Q6">
        <v>1334</v>
      </c>
      <c r="R6">
        <v>80</v>
      </c>
      <c r="S6">
        <v>53.615600000000001</v>
      </c>
      <c r="T6">
        <v>4.4900000000000002E-2</v>
      </c>
      <c r="U6">
        <v>1.0690999999999999</v>
      </c>
      <c r="V6">
        <v>0.93540000000000001</v>
      </c>
      <c r="W6">
        <v>0.95109999999999995</v>
      </c>
    </row>
    <row r="7" spans="1:23" x14ac:dyDescent="0.25">
      <c r="A7">
        <v>6</v>
      </c>
      <c r="B7">
        <v>1.6000000000000001E-3</v>
      </c>
      <c r="C7">
        <v>0</v>
      </c>
      <c r="D7">
        <v>0.14949999999999999</v>
      </c>
      <c r="E7">
        <v>2.0381999999999998</v>
      </c>
      <c r="F7">
        <v>0.2157</v>
      </c>
      <c r="G7">
        <v>4.9399999999999999E-2</v>
      </c>
      <c r="H7">
        <f t="shared" si="0"/>
        <v>49.4</v>
      </c>
      <c r="I7">
        <v>4.0399999999999998E-2</v>
      </c>
      <c r="J7">
        <f t="shared" si="1"/>
        <v>40.4</v>
      </c>
      <c r="K7" s="2">
        <f t="shared" si="2"/>
        <v>1.2227722772277227</v>
      </c>
      <c r="L7">
        <v>4.9700000000000001E-2</v>
      </c>
      <c r="M7">
        <v>3.9800000000000002E-2</v>
      </c>
      <c r="N7">
        <v>163.38489999999999</v>
      </c>
      <c r="O7">
        <v>0.87450000000000006</v>
      </c>
      <c r="P7">
        <v>5.4399999999999997E-2</v>
      </c>
      <c r="Q7">
        <v>907</v>
      </c>
      <c r="R7">
        <v>101</v>
      </c>
      <c r="S7">
        <v>150.2551</v>
      </c>
      <c r="T7">
        <v>4.0399999999999998E-2</v>
      </c>
      <c r="U7">
        <v>1.2483</v>
      </c>
      <c r="V7">
        <v>0.80110000000000003</v>
      </c>
      <c r="W7">
        <v>0.93620000000000003</v>
      </c>
    </row>
    <row r="8" spans="1:23" x14ac:dyDescent="0.25">
      <c r="A8">
        <v>7</v>
      </c>
      <c r="B8">
        <v>2.3999999999999998E-3</v>
      </c>
      <c r="C8">
        <v>0</v>
      </c>
      <c r="D8">
        <v>0.19389999999999999</v>
      </c>
      <c r="E8">
        <v>0.2112</v>
      </c>
      <c r="F8">
        <v>0.22470000000000001</v>
      </c>
      <c r="G8">
        <v>6.9699999999999998E-2</v>
      </c>
      <c r="H8">
        <f t="shared" si="0"/>
        <v>69.7</v>
      </c>
      <c r="I8">
        <v>3.8199999999999998E-2</v>
      </c>
      <c r="J8">
        <f t="shared" si="1"/>
        <v>38.199999999999996</v>
      </c>
      <c r="K8" s="2">
        <f t="shared" si="2"/>
        <v>1.8246073298429322</v>
      </c>
      <c r="L8">
        <v>7.4099999999999999E-2</v>
      </c>
      <c r="M8">
        <v>4.0899999999999999E-2</v>
      </c>
      <c r="N8">
        <v>2.1701000000000001</v>
      </c>
      <c r="O8">
        <v>0.79500000000000004</v>
      </c>
      <c r="P8">
        <v>7.3899999999999993E-2</v>
      </c>
      <c r="Q8">
        <v>94</v>
      </c>
      <c r="R8">
        <v>113</v>
      </c>
      <c r="S8">
        <v>19.5367</v>
      </c>
      <c r="T8">
        <v>3.8199999999999998E-2</v>
      </c>
      <c r="U8">
        <v>1.8129</v>
      </c>
      <c r="V8">
        <v>0.55159999999999998</v>
      </c>
      <c r="W8">
        <v>0.96419999999999995</v>
      </c>
    </row>
    <row r="9" spans="1:23" x14ac:dyDescent="0.25">
      <c r="A9">
        <v>8</v>
      </c>
      <c r="B9">
        <v>6.4000000000000003E-3</v>
      </c>
      <c r="C9">
        <v>0</v>
      </c>
      <c r="D9">
        <v>0.3105</v>
      </c>
      <c r="E9">
        <v>0.60899999999999999</v>
      </c>
      <c r="F9">
        <v>0.29210000000000003</v>
      </c>
      <c r="G9">
        <v>0.1079</v>
      </c>
      <c r="H9">
        <f t="shared" si="0"/>
        <v>107.89999999999999</v>
      </c>
      <c r="I9">
        <v>6.5199999999999994E-2</v>
      </c>
      <c r="J9">
        <f t="shared" si="1"/>
        <v>65.199999999999989</v>
      </c>
      <c r="K9" s="2">
        <f t="shared" si="2"/>
        <v>1.6549079754601228</v>
      </c>
      <c r="L9">
        <v>0.11600000000000001</v>
      </c>
      <c r="M9">
        <v>6.9800000000000001E-2</v>
      </c>
      <c r="N9">
        <v>2.9112</v>
      </c>
      <c r="O9">
        <v>0.8286</v>
      </c>
      <c r="P9">
        <v>0.1157</v>
      </c>
      <c r="Q9">
        <v>272</v>
      </c>
      <c r="R9">
        <v>154</v>
      </c>
      <c r="S9">
        <v>24.075500000000002</v>
      </c>
      <c r="T9">
        <v>6.5199999999999994E-2</v>
      </c>
      <c r="U9">
        <v>1.6614</v>
      </c>
      <c r="V9">
        <v>0.60189999999999999</v>
      </c>
      <c r="W9">
        <v>0.97219999999999995</v>
      </c>
    </row>
    <row r="10" spans="1:23" x14ac:dyDescent="0.25">
      <c r="A10">
        <v>9</v>
      </c>
      <c r="B10">
        <v>2.3999999999999998E-3</v>
      </c>
      <c r="C10">
        <v>0</v>
      </c>
      <c r="D10">
        <v>0.18490000000000001</v>
      </c>
      <c r="E10">
        <v>2.0045000000000002</v>
      </c>
      <c r="F10">
        <v>0.38429999999999997</v>
      </c>
      <c r="G10">
        <v>6.2899999999999998E-2</v>
      </c>
      <c r="H10">
        <f t="shared" si="0"/>
        <v>62.9</v>
      </c>
      <c r="I10">
        <v>4.2700000000000002E-2</v>
      </c>
      <c r="J10">
        <f t="shared" si="1"/>
        <v>42.7</v>
      </c>
      <c r="K10" s="2">
        <f t="shared" si="2"/>
        <v>1.4730679156908664</v>
      </c>
      <c r="L10">
        <v>6.4399999999999999E-2</v>
      </c>
      <c r="M10">
        <v>4.6600000000000003E-2</v>
      </c>
      <c r="N10">
        <v>0.65329999999999999</v>
      </c>
      <c r="O10">
        <v>0.86670000000000003</v>
      </c>
      <c r="P10">
        <v>6.54E-2</v>
      </c>
      <c r="Q10">
        <v>892</v>
      </c>
      <c r="R10">
        <v>187</v>
      </c>
      <c r="S10">
        <v>15.945399999999999</v>
      </c>
      <c r="T10">
        <v>4.2700000000000002E-2</v>
      </c>
      <c r="U10">
        <v>1.3819999999999999</v>
      </c>
      <c r="V10">
        <v>0.72360000000000002</v>
      </c>
      <c r="W10">
        <v>0.96189999999999998</v>
      </c>
    </row>
    <row r="11" spans="1:23" x14ac:dyDescent="0.25">
      <c r="A11">
        <v>10</v>
      </c>
      <c r="B11">
        <v>1.6000000000000001E-3</v>
      </c>
      <c r="C11">
        <v>0</v>
      </c>
      <c r="D11">
        <v>0.15210000000000001</v>
      </c>
      <c r="E11">
        <v>0.44269999999999998</v>
      </c>
      <c r="F11">
        <v>0.41120000000000001</v>
      </c>
      <c r="G11">
        <v>5.3900000000000003E-2</v>
      </c>
      <c r="H11">
        <f t="shared" si="0"/>
        <v>53.900000000000006</v>
      </c>
      <c r="I11">
        <v>3.5999999999999997E-2</v>
      </c>
      <c r="J11">
        <f t="shared" si="1"/>
        <v>36</v>
      </c>
      <c r="K11" s="2">
        <f t="shared" si="2"/>
        <v>1.4972222222222225</v>
      </c>
      <c r="L11">
        <v>5.5199999999999999E-2</v>
      </c>
      <c r="M11">
        <v>3.5900000000000001E-2</v>
      </c>
      <c r="N11">
        <v>11.715199999999999</v>
      </c>
      <c r="O11">
        <v>0.84450000000000003</v>
      </c>
      <c r="P11">
        <v>5.6800000000000003E-2</v>
      </c>
      <c r="Q11">
        <v>197</v>
      </c>
      <c r="R11">
        <v>196</v>
      </c>
      <c r="S11">
        <v>18.434899999999999</v>
      </c>
      <c r="T11">
        <v>3.5999999999999997E-2</v>
      </c>
      <c r="U11">
        <v>1.5404</v>
      </c>
      <c r="V11">
        <v>0.6492</v>
      </c>
      <c r="W11">
        <v>0.93899999999999995</v>
      </c>
    </row>
    <row r="12" spans="1:23" x14ac:dyDescent="0.25">
      <c r="A12">
        <v>11</v>
      </c>
      <c r="B12">
        <v>2.7000000000000001E-3</v>
      </c>
      <c r="C12">
        <v>0</v>
      </c>
      <c r="D12">
        <v>0.19520000000000001</v>
      </c>
      <c r="E12">
        <v>3.2831000000000001</v>
      </c>
      <c r="F12">
        <v>0.41570000000000001</v>
      </c>
      <c r="G12">
        <v>6.7400000000000002E-2</v>
      </c>
      <c r="H12">
        <f t="shared" si="0"/>
        <v>67.400000000000006</v>
      </c>
      <c r="I12">
        <v>4.2700000000000002E-2</v>
      </c>
      <c r="J12">
        <f t="shared" si="1"/>
        <v>42.7</v>
      </c>
      <c r="K12" s="2">
        <f t="shared" si="2"/>
        <v>1.5784543325526932</v>
      </c>
      <c r="L12">
        <v>7.3200000000000001E-2</v>
      </c>
      <c r="M12">
        <v>4.6100000000000002E-2</v>
      </c>
      <c r="N12">
        <v>5.2065000000000001</v>
      </c>
      <c r="O12">
        <v>0.87419999999999998</v>
      </c>
      <c r="P12">
        <v>7.3499999999999996E-2</v>
      </c>
      <c r="Q12">
        <v>1461</v>
      </c>
      <c r="R12">
        <v>202</v>
      </c>
      <c r="S12">
        <v>23.428699999999999</v>
      </c>
      <c r="T12">
        <v>4.2700000000000002E-2</v>
      </c>
      <c r="U12">
        <v>1.5883</v>
      </c>
      <c r="V12">
        <v>0.62960000000000005</v>
      </c>
      <c r="W12">
        <v>0.98129999999999995</v>
      </c>
    </row>
    <row r="13" spans="1:23" x14ac:dyDescent="0.25">
      <c r="A13">
        <v>12</v>
      </c>
      <c r="B13">
        <v>3.8E-3</v>
      </c>
      <c r="C13">
        <v>0</v>
      </c>
      <c r="D13">
        <v>0.23880000000000001</v>
      </c>
      <c r="E13">
        <v>1.2652000000000001</v>
      </c>
      <c r="F13">
        <v>0.42920000000000003</v>
      </c>
      <c r="G13">
        <v>7.8700000000000006E-2</v>
      </c>
      <c r="H13">
        <f t="shared" si="0"/>
        <v>78.7</v>
      </c>
      <c r="I13">
        <v>5.3900000000000003E-2</v>
      </c>
      <c r="J13">
        <f t="shared" si="1"/>
        <v>53.900000000000006</v>
      </c>
      <c r="K13" s="2">
        <f t="shared" si="2"/>
        <v>1.4601113172541742</v>
      </c>
      <c r="L13">
        <v>8.4699999999999998E-2</v>
      </c>
      <c r="M13">
        <v>5.7299999999999997E-2</v>
      </c>
      <c r="N13">
        <v>3.536</v>
      </c>
      <c r="O13">
        <v>0.83989999999999998</v>
      </c>
      <c r="P13">
        <v>8.6499999999999994E-2</v>
      </c>
      <c r="Q13">
        <v>563</v>
      </c>
      <c r="R13">
        <v>211</v>
      </c>
      <c r="S13">
        <v>27.897300000000001</v>
      </c>
      <c r="T13">
        <v>5.3900000000000003E-2</v>
      </c>
      <c r="U13">
        <v>1.4791000000000001</v>
      </c>
      <c r="V13">
        <v>0.67610000000000003</v>
      </c>
      <c r="W13">
        <v>0.96179999999999999</v>
      </c>
    </row>
    <row r="14" spans="1:23" x14ac:dyDescent="0.25">
      <c r="A14">
        <v>13</v>
      </c>
      <c r="B14">
        <v>4.0000000000000001E-3</v>
      </c>
      <c r="C14">
        <v>0</v>
      </c>
      <c r="D14">
        <v>0.2452</v>
      </c>
      <c r="E14">
        <v>2.7932999999999999</v>
      </c>
      <c r="F14">
        <v>0.436</v>
      </c>
      <c r="G14">
        <v>8.09E-2</v>
      </c>
      <c r="H14">
        <f t="shared" si="0"/>
        <v>80.900000000000006</v>
      </c>
      <c r="I14">
        <v>5.62E-2</v>
      </c>
      <c r="J14">
        <f t="shared" si="1"/>
        <v>56.2</v>
      </c>
      <c r="K14" s="2">
        <f t="shared" si="2"/>
        <v>1.4395017793594307</v>
      </c>
      <c r="L14">
        <v>8.5900000000000004E-2</v>
      </c>
      <c r="M14">
        <v>0.06</v>
      </c>
      <c r="N14">
        <v>3.0522</v>
      </c>
      <c r="O14">
        <v>0.84650000000000003</v>
      </c>
      <c r="P14">
        <v>8.7499999999999994E-2</v>
      </c>
      <c r="Q14">
        <v>1244</v>
      </c>
      <c r="R14">
        <v>215</v>
      </c>
      <c r="S14">
        <v>29.197500000000002</v>
      </c>
      <c r="T14">
        <v>5.62E-2</v>
      </c>
      <c r="U14">
        <v>1.4320999999999999</v>
      </c>
      <c r="V14">
        <v>0.69830000000000003</v>
      </c>
      <c r="W14">
        <v>0.96340000000000003</v>
      </c>
    </row>
    <row r="15" spans="1:23" x14ac:dyDescent="0.25">
      <c r="A15">
        <v>16</v>
      </c>
      <c r="B15">
        <v>2.5999999999999999E-3</v>
      </c>
      <c r="C15">
        <v>0</v>
      </c>
      <c r="D15">
        <v>0.20100000000000001</v>
      </c>
      <c r="E15">
        <v>1.5798000000000001</v>
      </c>
      <c r="F15">
        <v>0.51690000000000003</v>
      </c>
      <c r="G15">
        <v>7.1900000000000006E-2</v>
      </c>
      <c r="H15">
        <f t="shared" si="0"/>
        <v>71.900000000000006</v>
      </c>
      <c r="I15">
        <v>4.0399999999999998E-2</v>
      </c>
      <c r="J15">
        <f t="shared" si="1"/>
        <v>40.4</v>
      </c>
      <c r="K15" s="2">
        <f t="shared" si="2"/>
        <v>1.77970297029703</v>
      </c>
      <c r="L15">
        <v>7.5899999999999995E-2</v>
      </c>
      <c r="M15">
        <v>4.3499999999999997E-2</v>
      </c>
      <c r="N15">
        <v>1.2816000000000001</v>
      </c>
      <c r="O15">
        <v>0.80720000000000003</v>
      </c>
      <c r="P15">
        <v>7.6399999999999996E-2</v>
      </c>
      <c r="Q15">
        <v>703</v>
      </c>
      <c r="R15">
        <v>245</v>
      </c>
      <c r="S15">
        <v>24.304500000000001</v>
      </c>
      <c r="T15">
        <v>4.0399999999999998E-2</v>
      </c>
      <c r="U15">
        <v>1.7436</v>
      </c>
      <c r="V15">
        <v>0.57350000000000001</v>
      </c>
      <c r="W15">
        <v>0.95899999999999996</v>
      </c>
    </row>
    <row r="16" spans="1:23" x14ac:dyDescent="0.25">
      <c r="A16">
        <v>17</v>
      </c>
      <c r="B16">
        <v>7.7000000000000002E-3</v>
      </c>
      <c r="C16">
        <v>0</v>
      </c>
      <c r="D16">
        <v>0.3362</v>
      </c>
      <c r="E16">
        <v>2.1101000000000001</v>
      </c>
      <c r="F16">
        <v>0.52810000000000001</v>
      </c>
      <c r="G16">
        <v>0.1056</v>
      </c>
      <c r="H16">
        <f t="shared" si="0"/>
        <v>105.6</v>
      </c>
      <c r="I16">
        <v>7.8700000000000006E-2</v>
      </c>
      <c r="J16">
        <f t="shared" si="1"/>
        <v>78.7</v>
      </c>
      <c r="K16" s="2">
        <f t="shared" si="2"/>
        <v>1.3418043202033036</v>
      </c>
      <c r="L16">
        <v>0.1139</v>
      </c>
      <c r="M16">
        <v>8.5699999999999998E-2</v>
      </c>
      <c r="N16">
        <v>5.7365000000000004</v>
      </c>
      <c r="O16">
        <v>0.85240000000000005</v>
      </c>
      <c r="P16">
        <v>0.1203</v>
      </c>
      <c r="Q16">
        <v>940</v>
      </c>
      <c r="R16">
        <v>268</v>
      </c>
      <c r="S16">
        <v>32.799500000000002</v>
      </c>
      <c r="T16">
        <v>7.8700000000000006E-2</v>
      </c>
      <c r="U16">
        <v>1.3287</v>
      </c>
      <c r="V16">
        <v>0.75260000000000005</v>
      </c>
      <c r="W16">
        <v>0.97460000000000002</v>
      </c>
    </row>
    <row r="17" spans="1:23" x14ac:dyDescent="0.25">
      <c r="A17">
        <v>18</v>
      </c>
      <c r="B17">
        <v>1.9E-3</v>
      </c>
      <c r="C17">
        <v>0</v>
      </c>
      <c r="D17">
        <v>0.1656</v>
      </c>
      <c r="E17">
        <v>0.63819999999999999</v>
      </c>
      <c r="F17">
        <v>0.53480000000000005</v>
      </c>
      <c r="G17">
        <v>5.62E-2</v>
      </c>
      <c r="H17">
        <f t="shared" si="0"/>
        <v>56.2</v>
      </c>
      <c r="I17">
        <v>4.0399999999999998E-2</v>
      </c>
      <c r="J17">
        <f t="shared" si="1"/>
        <v>40.4</v>
      </c>
      <c r="K17" s="2">
        <f t="shared" si="2"/>
        <v>1.3910891089108912</v>
      </c>
      <c r="L17">
        <v>5.8900000000000001E-2</v>
      </c>
      <c r="M17">
        <v>4.19E-2</v>
      </c>
      <c r="N17">
        <v>170.65479999999999</v>
      </c>
      <c r="O17">
        <v>0.88839999999999997</v>
      </c>
      <c r="P17">
        <v>6.1400000000000003E-2</v>
      </c>
      <c r="Q17">
        <v>284</v>
      </c>
      <c r="R17">
        <v>241</v>
      </c>
      <c r="S17">
        <v>156.25049999999999</v>
      </c>
      <c r="T17">
        <v>4.0399999999999998E-2</v>
      </c>
      <c r="U17">
        <v>1.4061999999999999</v>
      </c>
      <c r="V17">
        <v>0.71109999999999995</v>
      </c>
      <c r="W17">
        <v>0.96</v>
      </c>
    </row>
    <row r="18" spans="1:23" x14ac:dyDescent="0.25">
      <c r="A18">
        <v>19</v>
      </c>
      <c r="B18">
        <v>3.7000000000000002E-3</v>
      </c>
      <c r="C18">
        <v>0</v>
      </c>
      <c r="D18">
        <v>0.24329999999999999</v>
      </c>
      <c r="E18">
        <v>1.2090000000000001</v>
      </c>
      <c r="F18">
        <v>0.54610000000000003</v>
      </c>
      <c r="G18">
        <v>8.3099999999999993E-2</v>
      </c>
      <c r="H18">
        <f t="shared" si="0"/>
        <v>83.1</v>
      </c>
      <c r="I18">
        <v>4.7199999999999999E-2</v>
      </c>
      <c r="J18">
        <f t="shared" si="1"/>
        <v>47.199999999999996</v>
      </c>
      <c r="K18" s="2">
        <f t="shared" si="2"/>
        <v>1.7605932203389831</v>
      </c>
      <c r="L18">
        <v>9.1600000000000001E-2</v>
      </c>
      <c r="M18">
        <v>5.0900000000000001E-2</v>
      </c>
      <c r="N18">
        <v>1.9722999999999999</v>
      </c>
      <c r="O18">
        <v>0.77700000000000002</v>
      </c>
      <c r="P18">
        <v>9.06E-2</v>
      </c>
      <c r="Q18">
        <v>538</v>
      </c>
      <c r="R18">
        <v>260</v>
      </c>
      <c r="S18">
        <v>23.385200000000001</v>
      </c>
      <c r="T18">
        <v>4.7199999999999999E-2</v>
      </c>
      <c r="U18">
        <v>1.8018000000000001</v>
      </c>
      <c r="V18">
        <v>0.55500000000000005</v>
      </c>
      <c r="W18">
        <v>0.96599999999999997</v>
      </c>
    </row>
    <row r="19" spans="1:23" x14ac:dyDescent="0.25">
      <c r="A19">
        <v>20</v>
      </c>
      <c r="B19">
        <v>2.2000000000000001E-3</v>
      </c>
      <c r="C19">
        <v>0</v>
      </c>
      <c r="D19">
        <v>0.1804</v>
      </c>
      <c r="E19">
        <v>1.5213000000000001</v>
      </c>
      <c r="F19">
        <v>0.57750000000000001</v>
      </c>
      <c r="G19">
        <v>5.3900000000000003E-2</v>
      </c>
      <c r="H19">
        <f t="shared" si="0"/>
        <v>53.900000000000006</v>
      </c>
      <c r="I19">
        <v>4.7199999999999999E-2</v>
      </c>
      <c r="J19">
        <f t="shared" si="1"/>
        <v>47.199999999999996</v>
      </c>
      <c r="K19" s="2">
        <f t="shared" si="2"/>
        <v>1.1419491525423731</v>
      </c>
      <c r="L19">
        <v>5.5500000000000001E-2</v>
      </c>
      <c r="M19">
        <v>5.0999999999999997E-2</v>
      </c>
      <c r="N19">
        <v>7.5109000000000004</v>
      </c>
      <c r="O19">
        <v>0.85780000000000001</v>
      </c>
      <c r="P19">
        <v>6.2199999999999998E-2</v>
      </c>
      <c r="Q19">
        <v>681</v>
      </c>
      <c r="R19">
        <v>278</v>
      </c>
      <c r="S19">
        <v>49.398699999999998</v>
      </c>
      <c r="T19">
        <v>4.7199999999999999E-2</v>
      </c>
      <c r="U19">
        <v>1.0871999999999999</v>
      </c>
      <c r="V19">
        <v>0.91979999999999995</v>
      </c>
      <c r="W19">
        <v>0.95550000000000002</v>
      </c>
    </row>
    <row r="20" spans="1:23" x14ac:dyDescent="0.25">
      <c r="A20">
        <v>21</v>
      </c>
      <c r="B20">
        <v>8.9999999999999998E-4</v>
      </c>
      <c r="C20">
        <v>0</v>
      </c>
      <c r="D20">
        <v>0.113</v>
      </c>
      <c r="E20">
        <v>2.1124000000000001</v>
      </c>
      <c r="F20">
        <v>0.65620000000000001</v>
      </c>
      <c r="G20">
        <v>3.5999999999999997E-2</v>
      </c>
      <c r="H20">
        <f t="shared" si="0"/>
        <v>36</v>
      </c>
      <c r="I20">
        <v>3.3700000000000001E-2</v>
      </c>
      <c r="J20">
        <f t="shared" si="1"/>
        <v>33.700000000000003</v>
      </c>
      <c r="K20" s="2">
        <f t="shared" si="2"/>
        <v>1.0682492581602372</v>
      </c>
      <c r="L20">
        <v>3.7699999999999997E-2</v>
      </c>
      <c r="M20">
        <v>3.0700000000000002E-2</v>
      </c>
      <c r="N20">
        <v>25.1175</v>
      </c>
      <c r="O20">
        <v>0.89459999999999995</v>
      </c>
      <c r="P20">
        <v>4.0500000000000001E-2</v>
      </c>
      <c r="Q20">
        <v>941</v>
      </c>
      <c r="R20">
        <v>305</v>
      </c>
      <c r="S20">
        <v>33.690100000000001</v>
      </c>
      <c r="T20">
        <v>3.2599999999999997E-2</v>
      </c>
      <c r="U20">
        <v>1.2250000000000001</v>
      </c>
      <c r="V20">
        <v>0.81630000000000003</v>
      </c>
      <c r="W20">
        <v>0.90910000000000002</v>
      </c>
    </row>
    <row r="21" spans="1:23" x14ac:dyDescent="0.25">
      <c r="A21">
        <v>23</v>
      </c>
      <c r="B21">
        <v>7.3000000000000001E-3</v>
      </c>
      <c r="C21">
        <v>0</v>
      </c>
      <c r="D21">
        <v>0.38350000000000001</v>
      </c>
      <c r="E21">
        <v>2.8426999999999998</v>
      </c>
      <c r="F21">
        <v>0.73260000000000003</v>
      </c>
      <c r="G21">
        <v>0.15509999999999999</v>
      </c>
      <c r="H21">
        <f t="shared" si="0"/>
        <v>155.1</v>
      </c>
      <c r="I21">
        <v>5.3900000000000003E-2</v>
      </c>
      <c r="J21">
        <f t="shared" si="1"/>
        <v>53.900000000000006</v>
      </c>
      <c r="K21" s="2">
        <f t="shared" si="2"/>
        <v>2.8775510204081627</v>
      </c>
      <c r="L21">
        <v>0.16600000000000001</v>
      </c>
      <c r="M21">
        <v>5.6300000000000003E-2</v>
      </c>
      <c r="N21">
        <v>0.56479999999999997</v>
      </c>
      <c r="O21">
        <v>0.62729999999999997</v>
      </c>
      <c r="P21">
        <v>0.157</v>
      </c>
      <c r="Q21">
        <v>1265</v>
      </c>
      <c r="R21">
        <v>345</v>
      </c>
      <c r="S21">
        <v>9.0579000000000001</v>
      </c>
      <c r="T21">
        <v>5.3900000000000003E-2</v>
      </c>
      <c r="U21">
        <v>2.9479000000000002</v>
      </c>
      <c r="V21">
        <v>0.3392</v>
      </c>
      <c r="W21">
        <v>0.95720000000000005</v>
      </c>
    </row>
    <row r="22" spans="1:23" x14ac:dyDescent="0.25">
      <c r="A22">
        <v>24</v>
      </c>
      <c r="B22">
        <v>3.8E-3</v>
      </c>
      <c r="C22">
        <v>0</v>
      </c>
      <c r="D22">
        <v>0.25230000000000002</v>
      </c>
      <c r="E22">
        <v>1.5572999999999999</v>
      </c>
      <c r="F22">
        <v>0.95960000000000001</v>
      </c>
      <c r="G22">
        <v>9.2100000000000001E-2</v>
      </c>
      <c r="H22">
        <f t="shared" si="0"/>
        <v>92.1</v>
      </c>
      <c r="I22">
        <v>4.4900000000000002E-2</v>
      </c>
      <c r="J22">
        <f t="shared" si="1"/>
        <v>44.900000000000006</v>
      </c>
      <c r="K22" s="2">
        <f t="shared" si="2"/>
        <v>2.0512249443207122</v>
      </c>
      <c r="L22">
        <v>0.10050000000000001</v>
      </c>
      <c r="M22">
        <v>4.7699999999999999E-2</v>
      </c>
      <c r="N22">
        <v>0.2397</v>
      </c>
      <c r="O22">
        <v>0.74360000000000004</v>
      </c>
      <c r="P22">
        <v>9.74E-2</v>
      </c>
      <c r="Q22">
        <v>693</v>
      </c>
      <c r="R22">
        <v>446</v>
      </c>
      <c r="S22">
        <v>18.853200000000001</v>
      </c>
      <c r="T22">
        <v>4.4900000000000002E-2</v>
      </c>
      <c r="U22">
        <v>2.1057000000000001</v>
      </c>
      <c r="V22">
        <v>0.47489999999999999</v>
      </c>
      <c r="W22">
        <v>0.96440000000000003</v>
      </c>
    </row>
    <row r="23" spans="1:23" x14ac:dyDescent="0.25">
      <c r="A23">
        <v>25</v>
      </c>
      <c r="B23">
        <v>2.8E-3</v>
      </c>
      <c r="C23">
        <v>0</v>
      </c>
      <c r="D23">
        <v>0.2082</v>
      </c>
      <c r="E23">
        <v>2.4493999999999998</v>
      </c>
      <c r="F23">
        <v>0.96850000000000003</v>
      </c>
      <c r="G23">
        <v>7.4200000000000002E-2</v>
      </c>
      <c r="H23">
        <f t="shared" si="0"/>
        <v>74.2</v>
      </c>
      <c r="I23">
        <v>4.0399999999999998E-2</v>
      </c>
      <c r="J23">
        <f t="shared" si="1"/>
        <v>40.4</v>
      </c>
      <c r="K23" s="2">
        <f t="shared" si="2"/>
        <v>1.8366336633663367</v>
      </c>
      <c r="L23">
        <v>8.1699999999999995E-2</v>
      </c>
      <c r="M23">
        <v>4.3799999999999999E-2</v>
      </c>
      <c r="N23">
        <v>3.9384999999999999</v>
      </c>
      <c r="O23">
        <v>0.81430000000000002</v>
      </c>
      <c r="P23">
        <v>8.0600000000000005E-2</v>
      </c>
      <c r="Q23">
        <v>1090</v>
      </c>
      <c r="R23">
        <v>447</v>
      </c>
      <c r="S23">
        <v>22.988700000000001</v>
      </c>
      <c r="T23">
        <v>4.0399999999999998E-2</v>
      </c>
      <c r="U23">
        <v>1.8657999999999999</v>
      </c>
      <c r="V23">
        <v>0.53600000000000003</v>
      </c>
      <c r="W23">
        <v>0.97889999999999999</v>
      </c>
    </row>
    <row r="24" spans="1:23" x14ac:dyDescent="0.25">
      <c r="A24">
        <v>26</v>
      </c>
      <c r="B24">
        <v>2.5999999999999999E-3</v>
      </c>
      <c r="C24">
        <v>0</v>
      </c>
      <c r="D24">
        <v>0.2029</v>
      </c>
      <c r="E24">
        <v>2.2494000000000001</v>
      </c>
      <c r="F24">
        <v>1.0269999999999999</v>
      </c>
      <c r="G24">
        <v>7.1900000000000006E-2</v>
      </c>
      <c r="H24">
        <f t="shared" si="0"/>
        <v>71.900000000000006</v>
      </c>
      <c r="I24">
        <v>4.0399999999999998E-2</v>
      </c>
      <c r="J24">
        <f t="shared" si="1"/>
        <v>40.4</v>
      </c>
      <c r="K24" s="2">
        <f t="shared" si="2"/>
        <v>1.77970297029703</v>
      </c>
      <c r="L24">
        <v>7.6100000000000001E-2</v>
      </c>
      <c r="M24">
        <v>4.2999999999999997E-2</v>
      </c>
      <c r="N24">
        <v>179.626</v>
      </c>
      <c r="O24">
        <v>0.78469999999999995</v>
      </c>
      <c r="P24">
        <v>7.5999999999999998E-2</v>
      </c>
      <c r="Q24">
        <v>1001</v>
      </c>
      <c r="R24">
        <v>459</v>
      </c>
      <c r="S24">
        <v>161.02959999999999</v>
      </c>
      <c r="T24">
        <v>4.0399999999999998E-2</v>
      </c>
      <c r="U24">
        <v>1.7673000000000001</v>
      </c>
      <c r="V24">
        <v>0.56579999999999997</v>
      </c>
      <c r="W24">
        <v>0.94869999999999999</v>
      </c>
    </row>
    <row r="25" spans="1:23" x14ac:dyDescent="0.25">
      <c r="A25">
        <v>27</v>
      </c>
      <c r="B25">
        <v>5.8999999999999999E-3</v>
      </c>
      <c r="C25">
        <v>0</v>
      </c>
      <c r="D25">
        <v>0.2984</v>
      </c>
      <c r="E25">
        <v>1.7798</v>
      </c>
      <c r="F25">
        <v>1.0337000000000001</v>
      </c>
      <c r="G25">
        <v>9.8900000000000002E-2</v>
      </c>
      <c r="H25">
        <f t="shared" si="0"/>
        <v>98.9</v>
      </c>
      <c r="I25">
        <v>6.5199999999999994E-2</v>
      </c>
      <c r="J25">
        <f t="shared" si="1"/>
        <v>65.199999999999989</v>
      </c>
      <c r="K25" s="2">
        <f t="shared" si="2"/>
        <v>1.5168711656441722</v>
      </c>
      <c r="L25">
        <v>0.1085</v>
      </c>
      <c r="M25">
        <v>6.9099999999999995E-2</v>
      </c>
      <c r="N25">
        <v>173.9247</v>
      </c>
      <c r="O25">
        <v>0.83120000000000005</v>
      </c>
      <c r="P25">
        <v>0.1087</v>
      </c>
      <c r="Q25">
        <v>793</v>
      </c>
      <c r="R25">
        <v>462</v>
      </c>
      <c r="S25">
        <v>150.2551</v>
      </c>
      <c r="T25">
        <v>6.5199999999999994E-2</v>
      </c>
      <c r="U25">
        <v>1.5711999999999999</v>
      </c>
      <c r="V25">
        <v>0.63649999999999995</v>
      </c>
      <c r="W25">
        <v>0.98109999999999997</v>
      </c>
    </row>
    <row r="26" spans="1:23" x14ac:dyDescent="0.25">
      <c r="A26">
        <v>28</v>
      </c>
      <c r="B26">
        <v>8.0000000000000004E-4</v>
      </c>
      <c r="C26">
        <v>0</v>
      </c>
      <c r="D26">
        <v>0.104</v>
      </c>
      <c r="E26">
        <v>1.2517</v>
      </c>
      <c r="F26">
        <v>1.1483000000000001</v>
      </c>
      <c r="G26">
        <v>3.3700000000000001E-2</v>
      </c>
      <c r="H26">
        <f t="shared" si="0"/>
        <v>33.700000000000003</v>
      </c>
      <c r="I26">
        <v>3.15E-2</v>
      </c>
      <c r="J26">
        <f t="shared" si="1"/>
        <v>31.5</v>
      </c>
      <c r="K26" s="2">
        <f t="shared" si="2"/>
        <v>1.06984126984127</v>
      </c>
      <c r="L26">
        <v>3.4200000000000001E-2</v>
      </c>
      <c r="M26">
        <v>3.0599999999999999E-2</v>
      </c>
      <c r="N26">
        <v>0.47049999999999997</v>
      </c>
      <c r="O26">
        <v>0.95620000000000005</v>
      </c>
      <c r="P26">
        <v>3.6299999999999999E-2</v>
      </c>
      <c r="Q26">
        <v>557</v>
      </c>
      <c r="R26">
        <v>521</v>
      </c>
      <c r="S26">
        <v>21.801400000000001</v>
      </c>
      <c r="T26">
        <v>3.15E-2</v>
      </c>
      <c r="U26">
        <v>1.1161000000000001</v>
      </c>
      <c r="V26">
        <v>0.89600000000000002</v>
      </c>
      <c r="W26">
        <v>0.92879999999999996</v>
      </c>
    </row>
    <row r="27" spans="1:23" x14ac:dyDescent="0.25">
      <c r="A27">
        <v>29</v>
      </c>
      <c r="B27">
        <v>5.4999999999999997E-3</v>
      </c>
      <c r="C27">
        <v>0</v>
      </c>
      <c r="D27">
        <v>0.2994</v>
      </c>
      <c r="E27">
        <v>2.0876000000000001</v>
      </c>
      <c r="F27">
        <v>1.1506000000000001</v>
      </c>
      <c r="G27">
        <v>0.1056</v>
      </c>
      <c r="H27">
        <f t="shared" si="0"/>
        <v>105.6</v>
      </c>
      <c r="I27">
        <v>6.0699999999999997E-2</v>
      </c>
      <c r="J27">
        <f t="shared" si="1"/>
        <v>60.699999999999996</v>
      </c>
      <c r="K27" s="2">
        <f t="shared" si="2"/>
        <v>1.7397034596375618</v>
      </c>
      <c r="L27">
        <v>0.1132</v>
      </c>
      <c r="M27">
        <v>6.2399999999999997E-2</v>
      </c>
      <c r="N27">
        <v>5.1241000000000003</v>
      </c>
      <c r="O27">
        <v>0.77780000000000005</v>
      </c>
      <c r="P27">
        <v>0.1139</v>
      </c>
      <c r="Q27">
        <v>929</v>
      </c>
      <c r="R27">
        <v>536</v>
      </c>
      <c r="S27">
        <v>22.011299999999999</v>
      </c>
      <c r="T27">
        <v>6.0699999999999997E-2</v>
      </c>
      <c r="U27">
        <v>1.8121</v>
      </c>
      <c r="V27">
        <v>0.55179999999999996</v>
      </c>
      <c r="W27">
        <v>0.95109999999999995</v>
      </c>
    </row>
    <row r="28" spans="1:23" x14ac:dyDescent="0.25">
      <c r="A28">
        <v>30</v>
      </c>
      <c r="B28">
        <v>1.9E-3</v>
      </c>
      <c r="C28">
        <v>0</v>
      </c>
      <c r="D28">
        <v>0.16930000000000001</v>
      </c>
      <c r="E28">
        <v>2.9820000000000002</v>
      </c>
      <c r="F28">
        <v>1.1708000000000001</v>
      </c>
      <c r="G28">
        <v>5.8400000000000001E-2</v>
      </c>
      <c r="H28">
        <f t="shared" si="0"/>
        <v>58.4</v>
      </c>
      <c r="I28">
        <v>4.2700000000000002E-2</v>
      </c>
      <c r="J28">
        <f t="shared" si="1"/>
        <v>42.7</v>
      </c>
      <c r="K28" s="2">
        <f t="shared" si="2"/>
        <v>1.3676814988290398</v>
      </c>
      <c r="L28">
        <v>6.08E-2</v>
      </c>
      <c r="M28">
        <v>3.9199999999999999E-2</v>
      </c>
      <c r="N28">
        <v>18.3629</v>
      </c>
      <c r="O28">
        <v>0.82099999999999995</v>
      </c>
      <c r="P28">
        <v>6.4399999999999999E-2</v>
      </c>
      <c r="Q28">
        <v>1328</v>
      </c>
      <c r="R28">
        <v>538</v>
      </c>
      <c r="S28">
        <v>29.248799999999999</v>
      </c>
      <c r="T28">
        <v>4.19E-2</v>
      </c>
      <c r="U28">
        <v>1.5501</v>
      </c>
      <c r="V28">
        <v>0.64510000000000001</v>
      </c>
      <c r="W28">
        <v>0.9345</v>
      </c>
    </row>
    <row r="29" spans="1:23" x14ac:dyDescent="0.25">
      <c r="A29">
        <v>31</v>
      </c>
      <c r="B29">
        <v>2.8E-3</v>
      </c>
      <c r="C29">
        <v>0</v>
      </c>
      <c r="D29">
        <v>0.20549999999999999</v>
      </c>
      <c r="E29">
        <v>0.31909999999999999</v>
      </c>
      <c r="F29">
        <v>1.173</v>
      </c>
      <c r="G29">
        <v>6.7400000000000002E-2</v>
      </c>
      <c r="H29">
        <f t="shared" si="0"/>
        <v>67.400000000000006</v>
      </c>
      <c r="I29">
        <v>4.4900000000000002E-2</v>
      </c>
      <c r="J29">
        <f t="shared" si="1"/>
        <v>44.900000000000006</v>
      </c>
      <c r="K29" s="2">
        <f t="shared" si="2"/>
        <v>1.5011135857461024</v>
      </c>
      <c r="L29">
        <v>7.4099999999999999E-2</v>
      </c>
      <c r="M29">
        <v>4.8399999999999999E-2</v>
      </c>
      <c r="N29">
        <v>2.29E-2</v>
      </c>
      <c r="O29">
        <v>0.83830000000000005</v>
      </c>
      <c r="P29">
        <v>7.3599999999999999E-2</v>
      </c>
      <c r="Q29">
        <v>143</v>
      </c>
      <c r="R29">
        <v>541</v>
      </c>
      <c r="S29">
        <v>31.2637</v>
      </c>
      <c r="T29">
        <v>4.4900000000000002E-2</v>
      </c>
      <c r="U29">
        <v>1.5289999999999999</v>
      </c>
      <c r="V29">
        <v>0.65400000000000003</v>
      </c>
      <c r="W29">
        <v>0.96960000000000002</v>
      </c>
    </row>
    <row r="30" spans="1:23" x14ac:dyDescent="0.25">
      <c r="A30">
        <v>32</v>
      </c>
      <c r="B30">
        <v>3.5000000000000001E-3</v>
      </c>
      <c r="C30">
        <v>0</v>
      </c>
      <c r="D30">
        <v>0.2351</v>
      </c>
      <c r="E30">
        <v>0.91690000000000005</v>
      </c>
      <c r="F30">
        <v>1.1819999999999999</v>
      </c>
      <c r="G30">
        <v>8.5400000000000004E-2</v>
      </c>
      <c r="H30">
        <f t="shared" si="0"/>
        <v>85.4</v>
      </c>
      <c r="I30">
        <v>4.2700000000000002E-2</v>
      </c>
      <c r="J30">
        <f t="shared" si="1"/>
        <v>42.7</v>
      </c>
      <c r="K30" s="2">
        <f t="shared" si="2"/>
        <v>2</v>
      </c>
      <c r="L30">
        <v>9.4100000000000003E-2</v>
      </c>
      <c r="M30">
        <v>4.7199999999999999E-2</v>
      </c>
      <c r="N30">
        <v>0.89329999999999998</v>
      </c>
      <c r="O30">
        <v>0.79320000000000002</v>
      </c>
      <c r="P30">
        <v>9.0300000000000005E-2</v>
      </c>
      <c r="Q30">
        <v>408</v>
      </c>
      <c r="R30">
        <v>542</v>
      </c>
      <c r="S30">
        <v>18.886099999999999</v>
      </c>
      <c r="T30">
        <v>4.2700000000000002E-2</v>
      </c>
      <c r="U30">
        <v>1.9951000000000001</v>
      </c>
      <c r="V30">
        <v>0.50119999999999998</v>
      </c>
      <c r="W30">
        <v>0.98570000000000002</v>
      </c>
    </row>
    <row r="31" spans="1:23" x14ac:dyDescent="0.25">
      <c r="A31">
        <v>34</v>
      </c>
      <c r="B31">
        <v>4.7999999999999996E-3</v>
      </c>
      <c r="C31">
        <v>0</v>
      </c>
      <c r="D31">
        <v>0.27250000000000002</v>
      </c>
      <c r="E31">
        <v>1.1326000000000001</v>
      </c>
      <c r="F31">
        <v>1.1933</v>
      </c>
      <c r="G31">
        <v>9.6600000000000005E-2</v>
      </c>
      <c r="H31">
        <f t="shared" si="0"/>
        <v>96.600000000000009</v>
      </c>
      <c r="I31">
        <v>5.62E-2</v>
      </c>
      <c r="J31">
        <f t="shared" si="1"/>
        <v>56.2</v>
      </c>
      <c r="K31" s="2">
        <f t="shared" si="2"/>
        <v>1.7188612099644129</v>
      </c>
      <c r="L31">
        <v>0.1021</v>
      </c>
      <c r="M31">
        <v>5.96E-2</v>
      </c>
      <c r="N31">
        <v>2.8187000000000002</v>
      </c>
      <c r="O31">
        <v>0.80940000000000001</v>
      </c>
      <c r="P31">
        <v>9.9199999999999997E-2</v>
      </c>
      <c r="Q31">
        <v>504</v>
      </c>
      <c r="R31">
        <v>548</v>
      </c>
      <c r="S31">
        <v>13.091900000000001</v>
      </c>
      <c r="T31">
        <v>5.62E-2</v>
      </c>
      <c r="U31">
        <v>1.7117</v>
      </c>
      <c r="V31">
        <v>0.58420000000000005</v>
      </c>
      <c r="W31">
        <v>0.96579999999999999</v>
      </c>
    </row>
    <row r="32" spans="1:23" x14ac:dyDescent="0.25">
      <c r="A32">
        <v>36</v>
      </c>
      <c r="B32">
        <v>2.0999999999999999E-3</v>
      </c>
      <c r="C32">
        <v>0</v>
      </c>
      <c r="D32">
        <v>0.1714</v>
      </c>
      <c r="E32">
        <v>0.29210000000000003</v>
      </c>
      <c r="F32">
        <v>1.218</v>
      </c>
      <c r="G32">
        <v>5.3900000000000003E-2</v>
      </c>
      <c r="H32">
        <f t="shared" si="0"/>
        <v>53.900000000000006</v>
      </c>
      <c r="I32">
        <v>4.4900000000000002E-2</v>
      </c>
      <c r="J32">
        <f t="shared" si="1"/>
        <v>44.900000000000006</v>
      </c>
      <c r="K32" s="2">
        <f t="shared" si="2"/>
        <v>1.200445434298441</v>
      </c>
      <c r="L32">
        <v>5.8299999999999998E-2</v>
      </c>
      <c r="M32">
        <v>4.65E-2</v>
      </c>
      <c r="N32">
        <v>11.3573</v>
      </c>
      <c r="O32">
        <v>0.9113</v>
      </c>
      <c r="P32">
        <v>6.1699999999999998E-2</v>
      </c>
      <c r="Q32">
        <v>130</v>
      </c>
      <c r="R32">
        <v>559</v>
      </c>
      <c r="S32">
        <v>33.1113</v>
      </c>
      <c r="T32">
        <v>4.4900000000000002E-2</v>
      </c>
      <c r="U32">
        <v>1.2531000000000001</v>
      </c>
      <c r="V32">
        <v>0.79800000000000004</v>
      </c>
      <c r="W32">
        <v>0.96020000000000005</v>
      </c>
    </row>
    <row r="33" spans="1:23" x14ac:dyDescent="0.25">
      <c r="A33">
        <v>37</v>
      </c>
      <c r="B33">
        <v>4.4000000000000003E-3</v>
      </c>
      <c r="C33">
        <v>0</v>
      </c>
      <c r="D33">
        <v>0.25600000000000001</v>
      </c>
      <c r="E33">
        <v>2.0089999999999999</v>
      </c>
      <c r="F33">
        <v>1.218</v>
      </c>
      <c r="G33">
        <v>8.9899999999999994E-2</v>
      </c>
      <c r="H33">
        <f t="shared" si="0"/>
        <v>89.899999999999991</v>
      </c>
      <c r="I33">
        <v>5.3900000000000003E-2</v>
      </c>
      <c r="J33">
        <f t="shared" si="1"/>
        <v>53.900000000000006</v>
      </c>
      <c r="K33" s="2">
        <f t="shared" si="2"/>
        <v>1.6679035250463818</v>
      </c>
      <c r="L33">
        <v>9.7500000000000003E-2</v>
      </c>
      <c r="M33">
        <v>5.7299999999999997E-2</v>
      </c>
      <c r="N33">
        <v>4.6931000000000003</v>
      </c>
      <c r="O33">
        <v>0.84109999999999996</v>
      </c>
      <c r="P33">
        <v>9.5600000000000004E-2</v>
      </c>
      <c r="Q33">
        <v>895</v>
      </c>
      <c r="R33">
        <v>563</v>
      </c>
      <c r="S33">
        <v>23.552299999999999</v>
      </c>
      <c r="T33">
        <v>5.3900000000000003E-2</v>
      </c>
      <c r="U33">
        <v>1.7027000000000001</v>
      </c>
      <c r="V33">
        <v>0.58730000000000004</v>
      </c>
      <c r="W33">
        <v>0.9748</v>
      </c>
    </row>
    <row r="34" spans="1:23" x14ac:dyDescent="0.25">
      <c r="A34">
        <v>38</v>
      </c>
      <c r="B34">
        <v>2.8E-3</v>
      </c>
      <c r="C34">
        <v>0</v>
      </c>
      <c r="D34">
        <v>0.20369999999999999</v>
      </c>
      <c r="E34">
        <v>1.0022</v>
      </c>
      <c r="F34">
        <v>1.3010999999999999</v>
      </c>
      <c r="G34">
        <v>6.7400000000000002E-2</v>
      </c>
      <c r="H34">
        <f t="shared" ref="H34:H58" si="3">G34*1000</f>
        <v>67.400000000000006</v>
      </c>
      <c r="I34">
        <v>4.4900000000000002E-2</v>
      </c>
      <c r="J34">
        <f t="shared" ref="J34:J58" si="4">I34*1000</f>
        <v>44.900000000000006</v>
      </c>
      <c r="K34" s="2">
        <f t="shared" ref="K34:K58" si="5">H34/J34</f>
        <v>1.5011135857461024</v>
      </c>
      <c r="L34">
        <v>7.22E-2</v>
      </c>
      <c r="M34">
        <v>4.9000000000000002E-2</v>
      </c>
      <c r="N34">
        <v>5.3745000000000003</v>
      </c>
      <c r="O34">
        <v>0.84150000000000003</v>
      </c>
      <c r="P34">
        <v>7.6399999999999996E-2</v>
      </c>
      <c r="Q34">
        <v>446</v>
      </c>
      <c r="R34">
        <v>597</v>
      </c>
      <c r="S34">
        <v>28.072500000000002</v>
      </c>
      <c r="T34">
        <v>4.4900000000000002E-2</v>
      </c>
      <c r="U34">
        <v>1.4724999999999999</v>
      </c>
      <c r="V34">
        <v>0.67910000000000004</v>
      </c>
      <c r="W34">
        <v>0.97089999999999999</v>
      </c>
    </row>
    <row r="35" spans="1:23" x14ac:dyDescent="0.25">
      <c r="A35">
        <v>39</v>
      </c>
      <c r="B35">
        <v>2.5000000000000001E-3</v>
      </c>
      <c r="C35">
        <v>0</v>
      </c>
      <c r="D35">
        <v>0.1862</v>
      </c>
      <c r="E35">
        <v>0.31909999999999999</v>
      </c>
      <c r="F35">
        <v>1.3392999999999999</v>
      </c>
      <c r="G35">
        <v>6.0699999999999997E-2</v>
      </c>
      <c r="H35">
        <f t="shared" si="3"/>
        <v>60.699999999999996</v>
      </c>
      <c r="I35">
        <v>4.4900000000000002E-2</v>
      </c>
      <c r="J35">
        <f t="shared" si="4"/>
        <v>44.900000000000006</v>
      </c>
      <c r="K35" s="2">
        <f t="shared" si="5"/>
        <v>1.3518930957683739</v>
      </c>
      <c r="L35">
        <v>6.6600000000000006E-2</v>
      </c>
      <c r="M35">
        <v>4.7E-2</v>
      </c>
      <c r="N35">
        <v>5.7222</v>
      </c>
      <c r="O35">
        <v>0.8911</v>
      </c>
      <c r="P35">
        <v>6.8599999999999994E-2</v>
      </c>
      <c r="Q35">
        <v>142</v>
      </c>
      <c r="R35">
        <v>614</v>
      </c>
      <c r="S35">
        <v>31.607500000000002</v>
      </c>
      <c r="T35">
        <v>4.4900000000000002E-2</v>
      </c>
      <c r="U35">
        <v>1.4148000000000001</v>
      </c>
      <c r="V35">
        <v>0.70679999999999998</v>
      </c>
      <c r="W35">
        <v>0.96719999999999995</v>
      </c>
    </row>
    <row r="36" spans="1:23" x14ac:dyDescent="0.25">
      <c r="A36">
        <v>40</v>
      </c>
      <c r="B36">
        <v>6.9999999999999999E-4</v>
      </c>
      <c r="C36">
        <v>0</v>
      </c>
      <c r="D36">
        <v>9.5000000000000001E-2</v>
      </c>
      <c r="E36">
        <v>0.76629999999999998</v>
      </c>
      <c r="F36">
        <v>1.3528</v>
      </c>
      <c r="G36">
        <v>3.5999999999999997E-2</v>
      </c>
      <c r="H36">
        <f t="shared" si="3"/>
        <v>36</v>
      </c>
      <c r="I36">
        <v>2.47E-2</v>
      </c>
      <c r="J36">
        <f t="shared" si="4"/>
        <v>24.7</v>
      </c>
      <c r="K36" s="2">
        <f t="shared" si="5"/>
        <v>1.4574898785425101</v>
      </c>
      <c r="L36">
        <v>3.4799999999999998E-2</v>
      </c>
      <c r="M36">
        <v>2.4799999999999999E-2</v>
      </c>
      <c r="N36">
        <v>177.2174</v>
      </c>
      <c r="O36">
        <v>0.94179999999999997</v>
      </c>
      <c r="P36">
        <v>3.6600000000000001E-2</v>
      </c>
      <c r="Q36">
        <v>341</v>
      </c>
      <c r="R36">
        <v>606</v>
      </c>
      <c r="S36">
        <v>169.38030000000001</v>
      </c>
      <c r="T36">
        <v>2.47E-2</v>
      </c>
      <c r="U36">
        <v>1.4026000000000001</v>
      </c>
      <c r="V36">
        <v>0.71299999999999997</v>
      </c>
      <c r="W36">
        <v>0.92730000000000001</v>
      </c>
    </row>
    <row r="37" spans="1:23" x14ac:dyDescent="0.25">
      <c r="A37">
        <v>41</v>
      </c>
      <c r="B37">
        <v>3.0000000000000001E-3</v>
      </c>
      <c r="C37">
        <v>0</v>
      </c>
      <c r="D37">
        <v>0.23039999999999999</v>
      </c>
      <c r="E37">
        <v>1.1685000000000001</v>
      </c>
      <c r="F37">
        <v>1.4337</v>
      </c>
      <c r="G37">
        <v>8.09E-2</v>
      </c>
      <c r="H37">
        <f t="shared" si="3"/>
        <v>80.900000000000006</v>
      </c>
      <c r="I37">
        <v>4.0399999999999998E-2</v>
      </c>
      <c r="J37">
        <f t="shared" si="4"/>
        <v>40.4</v>
      </c>
      <c r="K37" s="2">
        <f t="shared" si="5"/>
        <v>2.0024752475247527</v>
      </c>
      <c r="L37">
        <v>8.7800000000000003E-2</v>
      </c>
      <c r="M37">
        <v>4.41E-2</v>
      </c>
      <c r="N37">
        <v>0.88560000000000005</v>
      </c>
      <c r="O37">
        <v>0.71970000000000001</v>
      </c>
      <c r="P37">
        <v>8.5999999999999993E-2</v>
      </c>
      <c r="Q37">
        <v>520</v>
      </c>
      <c r="R37">
        <v>652</v>
      </c>
      <c r="S37">
        <v>19.8552</v>
      </c>
      <c r="T37">
        <v>4.0399999999999998E-2</v>
      </c>
      <c r="U37">
        <v>1.9902</v>
      </c>
      <c r="V37">
        <v>0.50249999999999995</v>
      </c>
      <c r="W37">
        <v>0.95779999999999998</v>
      </c>
    </row>
    <row r="38" spans="1:23" x14ac:dyDescent="0.25">
      <c r="A38">
        <v>42</v>
      </c>
      <c r="B38">
        <v>2.5000000000000001E-3</v>
      </c>
      <c r="C38">
        <v>0</v>
      </c>
      <c r="D38">
        <v>0.18990000000000001</v>
      </c>
      <c r="E38">
        <v>3.3700000000000001E-2</v>
      </c>
      <c r="F38">
        <v>1.4583999999999999</v>
      </c>
      <c r="G38">
        <v>6.0699999999999997E-2</v>
      </c>
      <c r="H38">
        <f t="shared" si="3"/>
        <v>60.699999999999996</v>
      </c>
      <c r="I38">
        <v>4.9399999999999999E-2</v>
      </c>
      <c r="J38">
        <f t="shared" si="4"/>
        <v>49.4</v>
      </c>
      <c r="K38" s="2">
        <f t="shared" si="5"/>
        <v>1.2287449392712551</v>
      </c>
      <c r="L38">
        <v>6.4299999999999996E-2</v>
      </c>
      <c r="M38">
        <v>4.9299999999999997E-2</v>
      </c>
      <c r="N38">
        <v>20.5183</v>
      </c>
      <c r="O38">
        <v>0.86709999999999998</v>
      </c>
      <c r="P38">
        <v>6.9800000000000001E-2</v>
      </c>
      <c r="Q38">
        <v>15</v>
      </c>
      <c r="R38">
        <v>668</v>
      </c>
      <c r="S38">
        <v>33.1785</v>
      </c>
      <c r="T38">
        <v>4.9399999999999999E-2</v>
      </c>
      <c r="U38">
        <v>1.3023</v>
      </c>
      <c r="V38">
        <v>0.76790000000000003</v>
      </c>
      <c r="W38">
        <v>0.94630000000000003</v>
      </c>
    </row>
    <row r="39" spans="1:23" x14ac:dyDescent="0.25">
      <c r="A39">
        <v>43</v>
      </c>
      <c r="B39">
        <v>1.9E-3</v>
      </c>
      <c r="C39">
        <v>0</v>
      </c>
      <c r="D39">
        <v>0.16689999999999999</v>
      </c>
      <c r="E39">
        <v>1.4583999999999999</v>
      </c>
      <c r="F39">
        <v>1.5079</v>
      </c>
      <c r="G39">
        <v>5.62E-2</v>
      </c>
      <c r="H39">
        <f t="shared" si="3"/>
        <v>56.2</v>
      </c>
      <c r="I39">
        <v>4.0399999999999998E-2</v>
      </c>
      <c r="J39">
        <f t="shared" si="4"/>
        <v>40.4</v>
      </c>
      <c r="K39" s="2">
        <f t="shared" si="5"/>
        <v>1.3910891089108912</v>
      </c>
      <c r="L39">
        <v>5.8999999999999997E-2</v>
      </c>
      <c r="M39">
        <v>4.0899999999999999E-2</v>
      </c>
      <c r="N39">
        <v>8.4494000000000007</v>
      </c>
      <c r="O39">
        <v>0.85399999999999998</v>
      </c>
      <c r="P39">
        <v>6.1400000000000003E-2</v>
      </c>
      <c r="Q39">
        <v>649</v>
      </c>
      <c r="R39">
        <v>684</v>
      </c>
      <c r="S39">
        <v>23.749500000000001</v>
      </c>
      <c r="T39">
        <v>4.0399999999999998E-2</v>
      </c>
      <c r="U39">
        <v>1.4433</v>
      </c>
      <c r="V39">
        <v>0.69279999999999997</v>
      </c>
      <c r="W39">
        <v>0.94940000000000002</v>
      </c>
    </row>
    <row r="40" spans="1:23" x14ac:dyDescent="0.25">
      <c r="A40">
        <v>44</v>
      </c>
      <c r="B40">
        <v>3.2000000000000002E-3</v>
      </c>
      <c r="C40">
        <v>0</v>
      </c>
      <c r="D40">
        <v>0.21690000000000001</v>
      </c>
      <c r="E40">
        <v>0.25619999999999998</v>
      </c>
      <c r="F40">
        <v>1.7213000000000001</v>
      </c>
      <c r="G40">
        <v>7.6399999999999996E-2</v>
      </c>
      <c r="H40">
        <f t="shared" si="3"/>
        <v>76.399999999999991</v>
      </c>
      <c r="I40">
        <v>4.7199999999999999E-2</v>
      </c>
      <c r="J40">
        <f t="shared" si="4"/>
        <v>47.199999999999996</v>
      </c>
      <c r="K40" s="2">
        <f t="shared" si="5"/>
        <v>1.6186440677966101</v>
      </c>
      <c r="L40">
        <v>8.0799999999999997E-2</v>
      </c>
      <c r="M40">
        <v>4.9599999999999998E-2</v>
      </c>
      <c r="N40">
        <v>0.64039999999999997</v>
      </c>
      <c r="O40">
        <v>0.84160000000000001</v>
      </c>
      <c r="P40">
        <v>7.9000000000000001E-2</v>
      </c>
      <c r="Q40">
        <v>114</v>
      </c>
      <c r="R40">
        <v>779</v>
      </c>
      <c r="S40">
        <v>14.826499999999999</v>
      </c>
      <c r="T40">
        <v>4.7199999999999999E-2</v>
      </c>
      <c r="U40">
        <v>1.6275999999999999</v>
      </c>
      <c r="V40">
        <v>0.61439999999999995</v>
      </c>
      <c r="W40">
        <v>0.96299999999999997</v>
      </c>
    </row>
    <row r="41" spans="1:23" x14ac:dyDescent="0.25">
      <c r="A41">
        <v>45</v>
      </c>
      <c r="B41">
        <v>8.3999999999999995E-3</v>
      </c>
      <c r="C41">
        <v>0</v>
      </c>
      <c r="D41">
        <v>0.35580000000000001</v>
      </c>
      <c r="E41">
        <v>1.4831000000000001</v>
      </c>
      <c r="F41">
        <v>1.7302999999999999</v>
      </c>
      <c r="G41">
        <v>0.1258</v>
      </c>
      <c r="H41">
        <f t="shared" si="3"/>
        <v>125.8</v>
      </c>
      <c r="I41">
        <v>7.4200000000000002E-2</v>
      </c>
      <c r="J41">
        <f t="shared" si="4"/>
        <v>74.2</v>
      </c>
      <c r="K41" s="2">
        <f t="shared" si="5"/>
        <v>1.6954177897574123</v>
      </c>
      <c r="L41">
        <v>0.13489999999999999</v>
      </c>
      <c r="M41">
        <v>7.9200000000000007E-2</v>
      </c>
      <c r="N41">
        <v>1.4532</v>
      </c>
      <c r="O41">
        <v>0.8327</v>
      </c>
      <c r="P41">
        <v>0.13220000000000001</v>
      </c>
      <c r="Q41">
        <v>660</v>
      </c>
      <c r="R41">
        <v>795</v>
      </c>
      <c r="S41">
        <v>17.818899999999999</v>
      </c>
      <c r="T41">
        <v>7.4200000000000002E-2</v>
      </c>
      <c r="U41">
        <v>1.7044999999999999</v>
      </c>
      <c r="V41">
        <v>0.5867</v>
      </c>
      <c r="W41">
        <v>0.97560000000000002</v>
      </c>
    </row>
    <row r="42" spans="1:23" x14ac:dyDescent="0.25">
      <c r="A42">
        <v>46</v>
      </c>
      <c r="B42">
        <v>2.5000000000000001E-3</v>
      </c>
      <c r="C42">
        <v>0</v>
      </c>
      <c r="D42">
        <v>0.1958</v>
      </c>
      <c r="E42">
        <v>3.0516999999999999</v>
      </c>
      <c r="F42">
        <v>1.7347999999999999</v>
      </c>
      <c r="G42">
        <v>6.9699999999999998E-2</v>
      </c>
      <c r="H42">
        <f t="shared" si="3"/>
        <v>69.7</v>
      </c>
      <c r="I42">
        <v>4.2700000000000002E-2</v>
      </c>
      <c r="J42">
        <f t="shared" si="4"/>
        <v>42.7</v>
      </c>
      <c r="K42" s="2">
        <f t="shared" si="5"/>
        <v>1.6323185011709602</v>
      </c>
      <c r="L42">
        <v>7.3800000000000004E-2</v>
      </c>
      <c r="M42">
        <v>4.3400000000000001E-2</v>
      </c>
      <c r="N42">
        <v>179.2277</v>
      </c>
      <c r="O42">
        <v>0.82469999999999999</v>
      </c>
      <c r="P42">
        <v>7.1800000000000003E-2</v>
      </c>
      <c r="Q42">
        <v>1358</v>
      </c>
      <c r="R42">
        <v>775</v>
      </c>
      <c r="S42">
        <v>159.86369999999999</v>
      </c>
      <c r="T42">
        <v>4.2700000000000002E-2</v>
      </c>
      <c r="U42">
        <v>1.7028000000000001</v>
      </c>
      <c r="V42">
        <v>0.58730000000000004</v>
      </c>
      <c r="W42">
        <v>0.94410000000000005</v>
      </c>
    </row>
    <row r="43" spans="1:23" x14ac:dyDescent="0.25">
      <c r="A43">
        <v>47</v>
      </c>
      <c r="B43">
        <v>5.9999999999999995E-4</v>
      </c>
      <c r="C43">
        <v>0</v>
      </c>
      <c r="D43">
        <v>9.1300000000000006E-2</v>
      </c>
      <c r="E43">
        <v>0.2427</v>
      </c>
      <c r="F43">
        <v>1.7729999999999999</v>
      </c>
      <c r="G43">
        <v>3.15E-2</v>
      </c>
      <c r="H43">
        <f t="shared" si="3"/>
        <v>31.5</v>
      </c>
      <c r="I43">
        <v>2.47E-2</v>
      </c>
      <c r="J43">
        <f t="shared" si="4"/>
        <v>24.7</v>
      </c>
      <c r="K43" s="2">
        <f t="shared" si="5"/>
        <v>1.2753036437246963</v>
      </c>
      <c r="L43">
        <v>3.3000000000000002E-2</v>
      </c>
      <c r="M43">
        <v>2.4899999999999999E-2</v>
      </c>
      <c r="N43">
        <v>174.8141</v>
      </c>
      <c r="O43">
        <v>0.97450000000000003</v>
      </c>
      <c r="P43">
        <v>3.4200000000000001E-2</v>
      </c>
      <c r="Q43">
        <v>108</v>
      </c>
      <c r="R43">
        <v>792</v>
      </c>
      <c r="S43">
        <v>156.8014</v>
      </c>
      <c r="T43">
        <v>2.47E-2</v>
      </c>
      <c r="U43">
        <v>1.3229</v>
      </c>
      <c r="V43">
        <v>0.75590000000000002</v>
      </c>
      <c r="W43">
        <v>0.94120000000000004</v>
      </c>
    </row>
    <row r="44" spans="1:23" x14ac:dyDescent="0.25">
      <c r="A44">
        <v>48</v>
      </c>
      <c r="B44">
        <v>4.1999999999999997E-3</v>
      </c>
      <c r="C44">
        <v>0</v>
      </c>
      <c r="D44">
        <v>0.25159999999999999</v>
      </c>
      <c r="E44">
        <v>3.1663000000000001</v>
      </c>
      <c r="F44">
        <v>1.8247</v>
      </c>
      <c r="G44">
        <v>8.7599999999999997E-2</v>
      </c>
      <c r="H44">
        <f t="shared" si="3"/>
        <v>87.6</v>
      </c>
      <c r="I44">
        <v>5.3900000000000003E-2</v>
      </c>
      <c r="J44">
        <f t="shared" si="4"/>
        <v>53.900000000000006</v>
      </c>
      <c r="K44" s="2">
        <f t="shared" si="5"/>
        <v>1.6252319109461963</v>
      </c>
      <c r="L44">
        <v>9.35E-2</v>
      </c>
      <c r="M44">
        <v>5.7200000000000001E-2</v>
      </c>
      <c r="N44">
        <v>0.1477</v>
      </c>
      <c r="O44">
        <v>0.83440000000000003</v>
      </c>
      <c r="P44">
        <v>9.06E-2</v>
      </c>
      <c r="Q44">
        <v>1410</v>
      </c>
      <c r="R44">
        <v>833</v>
      </c>
      <c r="S44">
        <v>23.385200000000001</v>
      </c>
      <c r="T44">
        <v>5.3900000000000003E-2</v>
      </c>
      <c r="U44">
        <v>1.6348</v>
      </c>
      <c r="V44">
        <v>0.61170000000000002</v>
      </c>
      <c r="W44">
        <v>0.96350000000000002</v>
      </c>
    </row>
    <row r="45" spans="1:23" x14ac:dyDescent="0.25">
      <c r="A45">
        <v>49</v>
      </c>
      <c r="B45">
        <v>3.0999999999999999E-3</v>
      </c>
      <c r="C45">
        <v>0</v>
      </c>
      <c r="D45">
        <v>0.22989999999999999</v>
      </c>
      <c r="E45">
        <v>1.2808999999999999</v>
      </c>
      <c r="F45">
        <v>1.8516999999999999</v>
      </c>
      <c r="G45">
        <v>8.7599999999999997E-2</v>
      </c>
      <c r="H45">
        <f t="shared" si="3"/>
        <v>87.6</v>
      </c>
      <c r="I45">
        <v>3.8199999999999998E-2</v>
      </c>
      <c r="J45">
        <f t="shared" si="4"/>
        <v>38.199999999999996</v>
      </c>
      <c r="K45" s="2">
        <f t="shared" si="5"/>
        <v>2.2931937172774872</v>
      </c>
      <c r="L45">
        <v>9.5500000000000002E-2</v>
      </c>
      <c r="M45">
        <v>4.07E-2</v>
      </c>
      <c r="N45">
        <v>1.2764</v>
      </c>
      <c r="O45">
        <v>0.72550000000000003</v>
      </c>
      <c r="P45">
        <v>8.9899999999999994E-2</v>
      </c>
      <c r="Q45">
        <v>570</v>
      </c>
      <c r="R45">
        <v>839</v>
      </c>
      <c r="S45">
        <v>12.9946</v>
      </c>
      <c r="T45">
        <v>3.8199999999999998E-2</v>
      </c>
      <c r="U45">
        <v>2.3489</v>
      </c>
      <c r="V45">
        <v>0.42570000000000002</v>
      </c>
      <c r="W45">
        <v>0.95340000000000003</v>
      </c>
    </row>
    <row r="46" spans="1:23" x14ac:dyDescent="0.25">
      <c r="A46">
        <v>50</v>
      </c>
      <c r="B46">
        <v>5.8999999999999999E-3</v>
      </c>
      <c r="C46">
        <v>0</v>
      </c>
      <c r="D46">
        <v>0.2918</v>
      </c>
      <c r="E46">
        <v>0.1079</v>
      </c>
      <c r="F46">
        <v>1.8898999999999999</v>
      </c>
      <c r="G46">
        <v>0.1011</v>
      </c>
      <c r="H46">
        <f t="shared" si="3"/>
        <v>101.1</v>
      </c>
      <c r="I46">
        <v>6.5199999999999994E-2</v>
      </c>
      <c r="J46">
        <f t="shared" si="4"/>
        <v>65.199999999999989</v>
      </c>
      <c r="K46" s="2">
        <f t="shared" si="5"/>
        <v>1.5506134969325156</v>
      </c>
      <c r="L46">
        <v>0.10780000000000001</v>
      </c>
      <c r="M46">
        <v>6.9400000000000003E-2</v>
      </c>
      <c r="N46">
        <v>3.2406999999999999</v>
      </c>
      <c r="O46">
        <v>0.86760000000000004</v>
      </c>
      <c r="P46">
        <v>0.10680000000000001</v>
      </c>
      <c r="Q46">
        <v>48</v>
      </c>
      <c r="R46">
        <v>862</v>
      </c>
      <c r="S46">
        <v>22.248999999999999</v>
      </c>
      <c r="T46">
        <v>6.5199999999999994E-2</v>
      </c>
      <c r="U46">
        <v>1.552</v>
      </c>
      <c r="V46">
        <v>0.64429999999999998</v>
      </c>
      <c r="W46">
        <v>0.97529999999999994</v>
      </c>
    </row>
    <row r="47" spans="1:23" x14ac:dyDescent="0.25">
      <c r="A47">
        <v>51</v>
      </c>
      <c r="B47">
        <v>2.7000000000000001E-3</v>
      </c>
      <c r="C47">
        <v>0</v>
      </c>
      <c r="D47">
        <v>0.2021</v>
      </c>
      <c r="E47">
        <v>2.5640000000000001</v>
      </c>
      <c r="F47">
        <v>1.9146000000000001</v>
      </c>
      <c r="G47">
        <v>6.7400000000000002E-2</v>
      </c>
      <c r="H47">
        <f t="shared" si="3"/>
        <v>67.400000000000006</v>
      </c>
      <c r="I47">
        <v>4.4900000000000002E-2</v>
      </c>
      <c r="J47">
        <f t="shared" si="4"/>
        <v>44.900000000000006</v>
      </c>
      <c r="K47" s="2">
        <f t="shared" si="5"/>
        <v>1.5011135857461024</v>
      </c>
      <c r="L47">
        <v>7.1999999999999995E-2</v>
      </c>
      <c r="M47">
        <v>4.8300000000000003E-2</v>
      </c>
      <c r="N47">
        <v>179.81960000000001</v>
      </c>
      <c r="O47">
        <v>0.84040000000000004</v>
      </c>
      <c r="P47">
        <v>7.1800000000000003E-2</v>
      </c>
      <c r="Q47">
        <v>1141</v>
      </c>
      <c r="R47">
        <v>866</v>
      </c>
      <c r="S47">
        <v>20.136299999999999</v>
      </c>
      <c r="T47">
        <v>4.4900000000000002E-2</v>
      </c>
      <c r="U47">
        <v>1.4918</v>
      </c>
      <c r="V47">
        <v>0.67030000000000001</v>
      </c>
      <c r="W47">
        <v>0.96609999999999996</v>
      </c>
    </row>
    <row r="48" spans="1:23" x14ac:dyDescent="0.25">
      <c r="A48">
        <v>52</v>
      </c>
      <c r="B48">
        <v>4.0000000000000001E-3</v>
      </c>
      <c r="C48">
        <v>0</v>
      </c>
      <c r="D48">
        <v>0.24629999999999999</v>
      </c>
      <c r="E48">
        <v>2.8786999999999998</v>
      </c>
      <c r="F48">
        <v>1.9213</v>
      </c>
      <c r="G48">
        <v>8.5400000000000004E-2</v>
      </c>
      <c r="H48">
        <f t="shared" si="3"/>
        <v>85.4</v>
      </c>
      <c r="I48">
        <v>5.3900000000000003E-2</v>
      </c>
      <c r="J48">
        <f t="shared" si="4"/>
        <v>53.900000000000006</v>
      </c>
      <c r="K48" s="2">
        <f t="shared" si="5"/>
        <v>1.5844155844155843</v>
      </c>
      <c r="L48">
        <v>9.0800000000000006E-2</v>
      </c>
      <c r="M48">
        <v>5.5500000000000001E-2</v>
      </c>
      <c r="N48">
        <v>4.4390999999999998</v>
      </c>
      <c r="O48">
        <v>0.81920000000000004</v>
      </c>
      <c r="P48">
        <v>9.0399999999999994E-2</v>
      </c>
      <c r="Q48">
        <v>1282</v>
      </c>
      <c r="R48">
        <v>876</v>
      </c>
      <c r="S48">
        <v>26.565100000000001</v>
      </c>
      <c r="T48">
        <v>5.3499999999999999E-2</v>
      </c>
      <c r="U48">
        <v>1.6359999999999999</v>
      </c>
      <c r="V48">
        <v>0.61119999999999997</v>
      </c>
      <c r="W48">
        <v>0.95199999999999996</v>
      </c>
    </row>
    <row r="49" spans="1:23" x14ac:dyDescent="0.25">
      <c r="A49">
        <v>53</v>
      </c>
      <c r="B49">
        <v>1.6000000000000001E-3</v>
      </c>
      <c r="C49">
        <v>0</v>
      </c>
      <c r="D49">
        <v>0.1492</v>
      </c>
      <c r="E49">
        <v>1.4427000000000001</v>
      </c>
      <c r="F49">
        <v>1.9910000000000001</v>
      </c>
      <c r="G49">
        <v>4.7199999999999999E-2</v>
      </c>
      <c r="H49">
        <f t="shared" si="3"/>
        <v>47.199999999999996</v>
      </c>
      <c r="I49">
        <v>3.5999999999999997E-2</v>
      </c>
      <c r="J49">
        <f t="shared" si="4"/>
        <v>36</v>
      </c>
      <c r="K49" s="2">
        <f t="shared" si="5"/>
        <v>1.3111111111111109</v>
      </c>
      <c r="L49">
        <v>5.1799999999999999E-2</v>
      </c>
      <c r="M49">
        <v>3.9E-2</v>
      </c>
      <c r="N49">
        <v>9.3942999999999994</v>
      </c>
      <c r="O49">
        <v>0.89539999999999997</v>
      </c>
      <c r="P49">
        <v>5.5500000000000001E-2</v>
      </c>
      <c r="Q49">
        <v>642</v>
      </c>
      <c r="R49">
        <v>901</v>
      </c>
      <c r="S49">
        <v>31.759499999999999</v>
      </c>
      <c r="T49">
        <v>3.5999999999999997E-2</v>
      </c>
      <c r="U49">
        <v>1.3304</v>
      </c>
      <c r="V49">
        <v>0.75160000000000005</v>
      </c>
      <c r="W49">
        <v>0.97819999999999996</v>
      </c>
    </row>
    <row r="50" spans="1:23" x14ac:dyDescent="0.25">
      <c r="A50">
        <v>54</v>
      </c>
      <c r="B50">
        <v>3.3E-3</v>
      </c>
      <c r="C50">
        <v>0</v>
      </c>
      <c r="D50">
        <v>0.2291</v>
      </c>
      <c r="E50">
        <v>1.9662999999999999</v>
      </c>
      <c r="F50">
        <v>2</v>
      </c>
      <c r="G50">
        <v>7.8700000000000006E-2</v>
      </c>
      <c r="H50">
        <f t="shared" si="3"/>
        <v>78.7</v>
      </c>
      <c r="I50">
        <v>4.7199999999999999E-2</v>
      </c>
      <c r="J50">
        <f t="shared" si="4"/>
        <v>47.199999999999996</v>
      </c>
      <c r="K50" s="2">
        <f t="shared" si="5"/>
        <v>1.6673728813559323</v>
      </c>
      <c r="L50">
        <v>8.5000000000000006E-2</v>
      </c>
      <c r="M50">
        <v>4.9700000000000001E-2</v>
      </c>
      <c r="N50">
        <v>1.7899</v>
      </c>
      <c r="O50">
        <v>0.79449999999999998</v>
      </c>
      <c r="P50">
        <v>8.1799999999999998E-2</v>
      </c>
      <c r="Q50">
        <v>875</v>
      </c>
      <c r="R50">
        <v>896</v>
      </c>
      <c r="S50">
        <v>164.05459999999999</v>
      </c>
      <c r="T50">
        <v>4.7199999999999999E-2</v>
      </c>
      <c r="U50">
        <v>1.7109000000000001</v>
      </c>
      <c r="V50">
        <v>0.58450000000000002</v>
      </c>
      <c r="W50">
        <v>0.94810000000000005</v>
      </c>
    </row>
    <row r="51" spans="1:23" x14ac:dyDescent="0.25">
      <c r="A51">
        <v>55</v>
      </c>
      <c r="B51">
        <v>2.8999999999999998E-3</v>
      </c>
      <c r="C51">
        <v>0</v>
      </c>
      <c r="D51">
        <v>0.20369999999999999</v>
      </c>
      <c r="E51">
        <v>0.42470000000000002</v>
      </c>
      <c r="F51">
        <v>2.0270000000000001</v>
      </c>
      <c r="G51">
        <v>6.7400000000000002E-2</v>
      </c>
      <c r="H51">
        <f t="shared" si="3"/>
        <v>67.400000000000006</v>
      </c>
      <c r="I51">
        <v>4.4900000000000002E-2</v>
      </c>
      <c r="J51">
        <f t="shared" si="4"/>
        <v>44.900000000000006</v>
      </c>
      <c r="K51" s="2">
        <f t="shared" si="5"/>
        <v>1.5011135857461024</v>
      </c>
      <c r="L51">
        <v>7.3599999999999999E-2</v>
      </c>
      <c r="M51">
        <v>4.9500000000000002E-2</v>
      </c>
      <c r="N51">
        <v>5.0240999999999998</v>
      </c>
      <c r="O51">
        <v>0.86599999999999999</v>
      </c>
      <c r="P51">
        <v>7.5499999999999998E-2</v>
      </c>
      <c r="Q51">
        <v>189</v>
      </c>
      <c r="R51">
        <v>920</v>
      </c>
      <c r="S51">
        <v>30.379100000000001</v>
      </c>
      <c r="T51">
        <v>4.4900000000000002E-2</v>
      </c>
      <c r="U51">
        <v>1.4866999999999999</v>
      </c>
      <c r="V51">
        <v>0.67259999999999998</v>
      </c>
      <c r="W51">
        <v>0.98260000000000003</v>
      </c>
    </row>
    <row r="52" spans="1:23" x14ac:dyDescent="0.25">
      <c r="A52">
        <v>56</v>
      </c>
      <c r="B52">
        <v>1.8E-3</v>
      </c>
      <c r="C52">
        <v>0</v>
      </c>
      <c r="D52">
        <v>0.16220000000000001</v>
      </c>
      <c r="E52">
        <v>2.7056</v>
      </c>
      <c r="F52">
        <v>2.0493999999999999</v>
      </c>
      <c r="G52">
        <v>5.62E-2</v>
      </c>
      <c r="H52">
        <f t="shared" si="3"/>
        <v>56.2</v>
      </c>
      <c r="I52">
        <v>4.2700000000000002E-2</v>
      </c>
      <c r="J52">
        <f t="shared" si="4"/>
        <v>42.7</v>
      </c>
      <c r="K52" s="2">
        <f t="shared" si="5"/>
        <v>1.31615925058548</v>
      </c>
      <c r="L52">
        <v>5.6000000000000001E-2</v>
      </c>
      <c r="M52">
        <v>4.1300000000000003E-2</v>
      </c>
      <c r="N52">
        <v>4.0533999999999999</v>
      </c>
      <c r="O52">
        <v>0.86819999999999997</v>
      </c>
      <c r="P52">
        <v>5.7799999999999997E-2</v>
      </c>
      <c r="Q52">
        <v>1204</v>
      </c>
      <c r="R52">
        <v>922</v>
      </c>
      <c r="S52">
        <v>13.495699999999999</v>
      </c>
      <c r="T52">
        <v>4.1700000000000001E-2</v>
      </c>
      <c r="U52">
        <v>1.3552</v>
      </c>
      <c r="V52">
        <v>0.7379</v>
      </c>
      <c r="W52">
        <v>0.9254</v>
      </c>
    </row>
    <row r="53" spans="1:23" x14ac:dyDescent="0.25">
      <c r="A53">
        <v>57</v>
      </c>
      <c r="B53">
        <v>1.2999999999999999E-3</v>
      </c>
      <c r="C53">
        <v>0</v>
      </c>
      <c r="D53">
        <v>0.15</v>
      </c>
      <c r="E53">
        <v>1.4719</v>
      </c>
      <c r="F53">
        <v>2.0516999999999999</v>
      </c>
      <c r="G53">
        <v>5.8400000000000001E-2</v>
      </c>
      <c r="H53">
        <f t="shared" si="3"/>
        <v>58.4</v>
      </c>
      <c r="I53">
        <v>3.15E-2</v>
      </c>
      <c r="J53">
        <f t="shared" si="4"/>
        <v>31.5</v>
      </c>
      <c r="K53" s="2">
        <f t="shared" si="5"/>
        <v>1.8539682539682538</v>
      </c>
      <c r="L53">
        <v>5.7700000000000001E-2</v>
      </c>
      <c r="M53">
        <v>2.98E-2</v>
      </c>
      <c r="N53">
        <v>169.9195</v>
      </c>
      <c r="O53">
        <v>0.75260000000000005</v>
      </c>
      <c r="P53">
        <v>5.9499999999999997E-2</v>
      </c>
      <c r="Q53">
        <v>655</v>
      </c>
      <c r="R53">
        <v>918</v>
      </c>
      <c r="S53">
        <v>169.11449999999999</v>
      </c>
      <c r="T53">
        <v>3.15E-2</v>
      </c>
      <c r="U53">
        <v>1.9393</v>
      </c>
      <c r="V53">
        <v>0.51570000000000005</v>
      </c>
      <c r="W53">
        <v>0.90969999999999995</v>
      </c>
    </row>
    <row r="54" spans="1:23" x14ac:dyDescent="0.25">
      <c r="A54">
        <v>58</v>
      </c>
      <c r="B54">
        <v>3.0999999999999999E-3</v>
      </c>
      <c r="C54">
        <v>0</v>
      </c>
      <c r="D54">
        <v>0.2233</v>
      </c>
      <c r="E54">
        <v>3.1124000000000001</v>
      </c>
      <c r="F54">
        <v>2.0697000000000001</v>
      </c>
      <c r="G54">
        <v>7.6399999999999996E-2</v>
      </c>
      <c r="H54">
        <f t="shared" si="3"/>
        <v>76.399999999999991</v>
      </c>
      <c r="I54">
        <v>4.7199999999999999E-2</v>
      </c>
      <c r="J54">
        <f t="shared" si="4"/>
        <v>47.199999999999996</v>
      </c>
      <c r="K54" s="2">
        <f t="shared" si="5"/>
        <v>1.6186440677966101</v>
      </c>
      <c r="L54">
        <v>8.2100000000000006E-2</v>
      </c>
      <c r="M54">
        <v>4.7800000000000002E-2</v>
      </c>
      <c r="N54">
        <v>2.5689000000000002</v>
      </c>
      <c r="O54">
        <v>0.77780000000000005</v>
      </c>
      <c r="P54">
        <v>7.9000000000000001E-2</v>
      </c>
      <c r="Q54">
        <v>1385</v>
      </c>
      <c r="R54">
        <v>934</v>
      </c>
      <c r="S54">
        <v>14.826499999999999</v>
      </c>
      <c r="T54">
        <v>4.6199999999999998E-2</v>
      </c>
      <c r="U54">
        <v>1.7172000000000001</v>
      </c>
      <c r="V54">
        <v>0.58230000000000004</v>
      </c>
      <c r="W54">
        <v>0.94140000000000001</v>
      </c>
    </row>
    <row r="55" spans="1:23" x14ac:dyDescent="0.25">
      <c r="A55">
        <v>59</v>
      </c>
      <c r="B55">
        <v>2.3999999999999998E-3</v>
      </c>
      <c r="C55">
        <v>0</v>
      </c>
      <c r="D55">
        <v>0.1913</v>
      </c>
      <c r="E55">
        <v>2.6516999999999999</v>
      </c>
      <c r="F55">
        <v>2.1932999999999998</v>
      </c>
      <c r="G55">
        <v>6.7400000000000002E-2</v>
      </c>
      <c r="H55">
        <f t="shared" si="3"/>
        <v>67.400000000000006</v>
      </c>
      <c r="I55">
        <v>4.2700000000000002E-2</v>
      </c>
      <c r="J55">
        <f t="shared" si="4"/>
        <v>42.7</v>
      </c>
      <c r="K55" s="2">
        <f t="shared" si="5"/>
        <v>1.5784543325526932</v>
      </c>
      <c r="L55">
        <v>6.7900000000000002E-2</v>
      </c>
      <c r="M55">
        <v>4.41E-2</v>
      </c>
      <c r="N55">
        <v>6.4570999999999996</v>
      </c>
      <c r="O55">
        <v>0.80840000000000001</v>
      </c>
      <c r="P55">
        <v>6.9699999999999998E-2</v>
      </c>
      <c r="Q55">
        <v>1180</v>
      </c>
      <c r="R55">
        <v>992</v>
      </c>
      <c r="S55">
        <v>20.772300000000001</v>
      </c>
      <c r="T55">
        <v>4.2700000000000002E-2</v>
      </c>
      <c r="U55">
        <v>1.5396000000000001</v>
      </c>
      <c r="V55">
        <v>0.64949999999999997</v>
      </c>
      <c r="W55">
        <v>0.93289999999999995</v>
      </c>
    </row>
    <row r="56" spans="1:23" x14ac:dyDescent="0.25">
      <c r="A56">
        <v>60</v>
      </c>
      <c r="B56">
        <v>4.1000000000000003E-3</v>
      </c>
      <c r="C56">
        <v>0</v>
      </c>
      <c r="D56">
        <v>0.24840000000000001</v>
      </c>
      <c r="E56">
        <v>1.9169</v>
      </c>
      <c r="F56">
        <v>2.2157</v>
      </c>
      <c r="G56">
        <v>8.09E-2</v>
      </c>
      <c r="H56">
        <f t="shared" si="3"/>
        <v>80.900000000000006</v>
      </c>
      <c r="I56">
        <v>5.62E-2</v>
      </c>
      <c r="J56">
        <f t="shared" si="4"/>
        <v>56.2</v>
      </c>
      <c r="K56" s="2">
        <f t="shared" si="5"/>
        <v>1.4395017793594307</v>
      </c>
      <c r="L56">
        <v>8.6300000000000002E-2</v>
      </c>
      <c r="M56">
        <v>6.0400000000000002E-2</v>
      </c>
      <c r="N56">
        <v>2.5097</v>
      </c>
      <c r="O56">
        <v>0.83320000000000005</v>
      </c>
      <c r="P56">
        <v>9.06E-2</v>
      </c>
      <c r="Q56">
        <v>854</v>
      </c>
      <c r="R56">
        <v>1009</v>
      </c>
      <c r="S56">
        <v>29.744900000000001</v>
      </c>
      <c r="T56">
        <v>5.62E-2</v>
      </c>
      <c r="U56">
        <v>1.4298</v>
      </c>
      <c r="V56">
        <v>0.69940000000000002</v>
      </c>
      <c r="W56">
        <v>0.95860000000000001</v>
      </c>
    </row>
    <row r="57" spans="1:23" x14ac:dyDescent="0.25">
      <c r="A57">
        <v>61</v>
      </c>
      <c r="B57">
        <v>2.8999999999999998E-3</v>
      </c>
      <c r="C57">
        <v>0</v>
      </c>
      <c r="D57">
        <v>0.2092</v>
      </c>
      <c r="E57">
        <v>3.1684999999999999</v>
      </c>
      <c r="F57">
        <v>2.2427000000000001</v>
      </c>
      <c r="G57">
        <v>7.1900000000000006E-2</v>
      </c>
      <c r="H57">
        <f t="shared" si="3"/>
        <v>71.900000000000006</v>
      </c>
      <c r="I57">
        <v>4.7199999999999999E-2</v>
      </c>
      <c r="J57">
        <f t="shared" si="4"/>
        <v>47.199999999999996</v>
      </c>
      <c r="K57" s="2">
        <f t="shared" si="5"/>
        <v>1.523305084745763</v>
      </c>
      <c r="L57">
        <v>7.6899999999999996E-2</v>
      </c>
      <c r="M57">
        <v>4.7600000000000003E-2</v>
      </c>
      <c r="N57">
        <v>12.697800000000001</v>
      </c>
      <c r="O57">
        <v>0.82469999999999999</v>
      </c>
      <c r="P57">
        <v>8.0600000000000005E-2</v>
      </c>
      <c r="Q57">
        <v>1410</v>
      </c>
      <c r="R57">
        <v>1018</v>
      </c>
      <c r="S57">
        <v>30.141400000000001</v>
      </c>
      <c r="T57">
        <v>4.6800000000000001E-2</v>
      </c>
      <c r="U57">
        <v>1.6168</v>
      </c>
      <c r="V57">
        <v>0.61850000000000005</v>
      </c>
      <c r="W57">
        <v>0.95709999999999995</v>
      </c>
    </row>
    <row r="58" spans="1:23" x14ac:dyDescent="0.25">
      <c r="A58">
        <v>62</v>
      </c>
      <c r="B58">
        <v>3.2000000000000002E-3</v>
      </c>
      <c r="C58">
        <v>0</v>
      </c>
      <c r="D58">
        <v>0.2341</v>
      </c>
      <c r="E58">
        <v>0.67869999999999997</v>
      </c>
      <c r="F58">
        <v>2.2517</v>
      </c>
      <c r="G58">
        <v>8.09E-2</v>
      </c>
      <c r="H58">
        <f t="shared" si="3"/>
        <v>80.900000000000006</v>
      </c>
      <c r="I58">
        <v>4.7199999999999999E-2</v>
      </c>
      <c r="J58">
        <f t="shared" si="4"/>
        <v>47.199999999999996</v>
      </c>
      <c r="K58" s="2">
        <f t="shared" si="5"/>
        <v>1.7139830508474578</v>
      </c>
      <c r="L58">
        <v>8.6400000000000005E-2</v>
      </c>
      <c r="M58">
        <v>4.7399999999999998E-2</v>
      </c>
      <c r="N58">
        <v>6.4142999999999999</v>
      </c>
      <c r="O58">
        <v>0.73750000000000004</v>
      </c>
      <c r="P58">
        <v>8.6499999999999994E-2</v>
      </c>
      <c r="Q58">
        <v>303</v>
      </c>
      <c r="R58">
        <v>1021</v>
      </c>
      <c r="S58">
        <v>24.5672</v>
      </c>
      <c r="T58">
        <v>4.7E-2</v>
      </c>
      <c r="U58">
        <v>1.821</v>
      </c>
      <c r="V58">
        <v>0.54920000000000002</v>
      </c>
      <c r="W58">
        <v>0.94159999999999999</v>
      </c>
    </row>
    <row r="59" spans="1:23" x14ac:dyDescent="0.25">
      <c r="G59" t="s">
        <v>23</v>
      </c>
      <c r="H59" s="4">
        <f>AVERAGE(H2:H58)</f>
        <v>72.303508771929813</v>
      </c>
      <c r="J59" s="2">
        <f t="shared" ref="J59:K59" si="6">AVERAGE(J2:J58)</f>
        <v>46.236842105263165</v>
      </c>
      <c r="K59" s="2">
        <f t="shared" si="6"/>
        <v>1.5550790485514758</v>
      </c>
    </row>
    <row r="60" spans="1:23" ht="45" x14ac:dyDescent="0.25">
      <c r="G60" s="3" t="s">
        <v>24</v>
      </c>
      <c r="H60" s="4">
        <f>_xlfn.STDEV.P(H2:H58)</f>
        <v>22.59324510845283</v>
      </c>
      <c r="J60" s="2">
        <f t="shared" ref="J60:K60" si="7">_xlfn.STDEV.P(J2:J58)</f>
        <v>10.457107573302913</v>
      </c>
      <c r="K60" s="2">
        <f t="shared" si="7"/>
        <v>0.30763753904449148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ABA1-333C-4CBA-AA9B-91A297DEC746}">
  <dimension ref="A1:T63"/>
  <sheetViews>
    <sheetView workbookViewId="0">
      <selection activeCell="U15" sqref="U15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3.8E-3</v>
      </c>
      <c r="C2">
        <v>0</v>
      </c>
      <c r="D2">
        <v>0.24049999999999999</v>
      </c>
      <c r="E2">
        <v>3.2292000000000001</v>
      </c>
      <c r="F2">
        <v>9.2100000000000001E-2</v>
      </c>
      <c r="G2">
        <v>7.8700000000000006E-2</v>
      </c>
      <c r="H2">
        <v>5.62E-2</v>
      </c>
      <c r="I2">
        <v>8.2900000000000001E-2</v>
      </c>
      <c r="J2">
        <v>5.8999999999999997E-2</v>
      </c>
      <c r="K2">
        <v>4.8813000000000004</v>
      </c>
      <c r="L2">
        <v>0.83509999999999995</v>
      </c>
      <c r="M2">
        <v>8.5599999999999996E-2</v>
      </c>
      <c r="N2">
        <v>1437</v>
      </c>
      <c r="O2">
        <v>62</v>
      </c>
      <c r="P2">
        <v>23.198599999999999</v>
      </c>
      <c r="Q2">
        <v>5.62E-2</v>
      </c>
      <c r="R2">
        <v>1.4038999999999999</v>
      </c>
      <c r="S2">
        <v>0.71230000000000004</v>
      </c>
      <c r="T2">
        <v>0.95179999999999998</v>
      </c>
    </row>
    <row r="3" spans="1:20" x14ac:dyDescent="0.25">
      <c r="A3">
        <v>2</v>
      </c>
      <c r="B3">
        <v>1.2999999999999999E-3</v>
      </c>
      <c r="C3">
        <v>0</v>
      </c>
      <c r="D3">
        <v>0.1368</v>
      </c>
      <c r="E3">
        <v>0.55510000000000004</v>
      </c>
      <c r="F3">
        <v>0.1101</v>
      </c>
      <c r="G3">
        <v>4.7199999999999999E-2</v>
      </c>
      <c r="H3">
        <v>3.3700000000000001E-2</v>
      </c>
      <c r="I3">
        <v>4.7899999999999998E-2</v>
      </c>
      <c r="J3">
        <v>3.4500000000000003E-2</v>
      </c>
      <c r="K3">
        <v>19.6602</v>
      </c>
      <c r="L3">
        <v>0.87160000000000004</v>
      </c>
      <c r="M3">
        <v>5.2400000000000002E-2</v>
      </c>
      <c r="N3">
        <v>247</v>
      </c>
      <c r="O3">
        <v>62</v>
      </c>
      <c r="P3">
        <v>30.963799999999999</v>
      </c>
      <c r="Q3">
        <v>3.3700000000000001E-2</v>
      </c>
      <c r="R3">
        <v>1.3873</v>
      </c>
      <c r="S3">
        <v>0.7208</v>
      </c>
      <c r="T3">
        <v>0.95189999999999997</v>
      </c>
    </row>
    <row r="4" spans="1:20" x14ac:dyDescent="0.25">
      <c r="A4">
        <v>3</v>
      </c>
      <c r="B4">
        <v>2.3999999999999998E-3</v>
      </c>
      <c r="C4">
        <v>0</v>
      </c>
      <c r="D4">
        <v>0.183</v>
      </c>
      <c r="E4">
        <v>1.8134999999999999</v>
      </c>
      <c r="F4">
        <v>0.11459999999999999</v>
      </c>
      <c r="G4">
        <v>6.0699999999999997E-2</v>
      </c>
      <c r="H4">
        <v>4.2700000000000002E-2</v>
      </c>
      <c r="I4">
        <v>6.4500000000000002E-2</v>
      </c>
      <c r="J4">
        <v>4.65E-2</v>
      </c>
      <c r="K4">
        <v>4.5266000000000002</v>
      </c>
      <c r="L4">
        <v>0.88260000000000005</v>
      </c>
      <c r="M4">
        <v>6.6100000000000006E-2</v>
      </c>
      <c r="N4">
        <v>808</v>
      </c>
      <c r="O4">
        <v>69</v>
      </c>
      <c r="P4">
        <v>35.311199999999999</v>
      </c>
      <c r="Q4">
        <v>4.2700000000000002E-2</v>
      </c>
      <c r="R4">
        <v>1.3871</v>
      </c>
      <c r="S4">
        <v>0.72089999999999999</v>
      </c>
      <c r="T4">
        <v>0.9718</v>
      </c>
    </row>
    <row r="5" spans="1:20" x14ac:dyDescent="0.25">
      <c r="A5">
        <v>4</v>
      </c>
      <c r="B5">
        <v>1.6999999999999999E-3</v>
      </c>
      <c r="C5">
        <v>0</v>
      </c>
      <c r="D5">
        <v>0.15740000000000001</v>
      </c>
      <c r="E5">
        <v>1.3392999999999999</v>
      </c>
      <c r="F5">
        <v>0.12809999999999999</v>
      </c>
      <c r="G5">
        <v>4.9399999999999999E-2</v>
      </c>
      <c r="H5">
        <v>4.0399999999999998E-2</v>
      </c>
      <c r="I5">
        <v>5.0900000000000001E-2</v>
      </c>
      <c r="J5">
        <v>4.24E-2</v>
      </c>
      <c r="K5">
        <v>6.8461999999999996</v>
      </c>
      <c r="L5">
        <v>0.86070000000000002</v>
      </c>
      <c r="M5">
        <v>5.67E-2</v>
      </c>
      <c r="N5">
        <v>597</v>
      </c>
      <c r="O5">
        <v>74</v>
      </c>
      <c r="P5">
        <v>33.690100000000001</v>
      </c>
      <c r="Q5">
        <v>4.0399999999999998E-2</v>
      </c>
      <c r="R5">
        <v>1.1991000000000001</v>
      </c>
      <c r="S5">
        <v>0.83389999999999997</v>
      </c>
      <c r="T5">
        <v>0.93720000000000003</v>
      </c>
    </row>
    <row r="6" spans="1:20" x14ac:dyDescent="0.25">
      <c r="A6">
        <v>5</v>
      </c>
      <c r="B6">
        <v>1.6999999999999999E-3</v>
      </c>
      <c r="C6">
        <v>0</v>
      </c>
      <c r="D6">
        <v>0.15340000000000001</v>
      </c>
      <c r="E6">
        <v>2.9954999999999998</v>
      </c>
      <c r="F6">
        <v>0.1371</v>
      </c>
      <c r="G6">
        <v>4.4900000000000002E-2</v>
      </c>
      <c r="H6">
        <v>4.4900000000000002E-2</v>
      </c>
      <c r="I6">
        <v>4.7699999999999999E-2</v>
      </c>
      <c r="J6">
        <v>4.4600000000000001E-2</v>
      </c>
      <c r="K6">
        <v>73.563400000000001</v>
      </c>
      <c r="L6">
        <v>0.8921</v>
      </c>
      <c r="M6">
        <v>5.2999999999999999E-2</v>
      </c>
      <c r="N6">
        <v>1334</v>
      </c>
      <c r="O6">
        <v>80</v>
      </c>
      <c r="P6">
        <v>53.615600000000001</v>
      </c>
      <c r="Q6">
        <v>4.4900000000000002E-2</v>
      </c>
      <c r="R6">
        <v>1.0690999999999999</v>
      </c>
      <c r="S6">
        <v>0.93540000000000001</v>
      </c>
      <c r="T6">
        <v>0.95109999999999995</v>
      </c>
    </row>
    <row r="7" spans="1:20" x14ac:dyDescent="0.25">
      <c r="A7">
        <v>6</v>
      </c>
      <c r="B7">
        <v>1.6000000000000001E-3</v>
      </c>
      <c r="C7">
        <v>0</v>
      </c>
      <c r="D7">
        <v>0.14949999999999999</v>
      </c>
      <c r="E7">
        <v>2.0381999999999998</v>
      </c>
      <c r="F7">
        <v>0.2157</v>
      </c>
      <c r="G7">
        <v>4.9399999999999999E-2</v>
      </c>
      <c r="H7">
        <v>4.0399999999999998E-2</v>
      </c>
      <c r="I7">
        <v>4.9700000000000001E-2</v>
      </c>
      <c r="J7">
        <v>3.9800000000000002E-2</v>
      </c>
      <c r="K7">
        <v>163.38489999999999</v>
      </c>
      <c r="L7">
        <v>0.87450000000000006</v>
      </c>
      <c r="M7">
        <v>5.4399999999999997E-2</v>
      </c>
      <c r="N7">
        <v>907</v>
      </c>
      <c r="O7">
        <v>101</v>
      </c>
      <c r="P7">
        <v>150.2551</v>
      </c>
      <c r="Q7">
        <v>4.0399999999999998E-2</v>
      </c>
      <c r="R7">
        <v>1.2483</v>
      </c>
      <c r="S7">
        <v>0.80110000000000003</v>
      </c>
      <c r="T7">
        <v>0.93620000000000003</v>
      </c>
    </row>
    <row r="8" spans="1:20" x14ac:dyDescent="0.25">
      <c r="A8">
        <v>7</v>
      </c>
      <c r="B8">
        <v>2.3999999999999998E-3</v>
      </c>
      <c r="C8">
        <v>0</v>
      </c>
      <c r="D8">
        <v>0.19389999999999999</v>
      </c>
      <c r="E8">
        <v>0.2112</v>
      </c>
      <c r="F8">
        <v>0.22470000000000001</v>
      </c>
      <c r="G8">
        <v>6.9699999999999998E-2</v>
      </c>
      <c r="H8">
        <v>3.8199999999999998E-2</v>
      </c>
      <c r="I8">
        <v>7.4099999999999999E-2</v>
      </c>
      <c r="J8">
        <v>4.0899999999999999E-2</v>
      </c>
      <c r="K8">
        <v>2.1701000000000001</v>
      </c>
      <c r="L8">
        <v>0.79500000000000004</v>
      </c>
      <c r="M8">
        <v>7.3899999999999993E-2</v>
      </c>
      <c r="N8">
        <v>94</v>
      </c>
      <c r="O8">
        <v>113</v>
      </c>
      <c r="P8">
        <v>19.5367</v>
      </c>
      <c r="Q8">
        <v>3.8199999999999998E-2</v>
      </c>
      <c r="R8">
        <v>1.8129</v>
      </c>
      <c r="S8">
        <v>0.55159999999999998</v>
      </c>
      <c r="T8">
        <v>0.96419999999999995</v>
      </c>
    </row>
    <row r="9" spans="1:20" x14ac:dyDescent="0.25">
      <c r="A9">
        <v>8</v>
      </c>
      <c r="B9">
        <v>6.4000000000000003E-3</v>
      </c>
      <c r="C9">
        <v>0</v>
      </c>
      <c r="D9">
        <v>0.3105</v>
      </c>
      <c r="E9">
        <v>0.60899999999999999</v>
      </c>
      <c r="F9">
        <v>0.29210000000000003</v>
      </c>
      <c r="G9">
        <v>0.1079</v>
      </c>
      <c r="H9">
        <v>6.5199999999999994E-2</v>
      </c>
      <c r="I9">
        <v>0.11600000000000001</v>
      </c>
      <c r="J9">
        <v>6.9800000000000001E-2</v>
      </c>
      <c r="K9">
        <v>2.9112</v>
      </c>
      <c r="L9">
        <v>0.8286</v>
      </c>
      <c r="M9">
        <v>0.1157</v>
      </c>
      <c r="N9">
        <v>272</v>
      </c>
      <c r="O9">
        <v>154</v>
      </c>
      <c r="P9">
        <v>24.075500000000002</v>
      </c>
      <c r="Q9">
        <v>6.5199999999999994E-2</v>
      </c>
      <c r="R9">
        <v>1.6614</v>
      </c>
      <c r="S9">
        <v>0.60189999999999999</v>
      </c>
      <c r="T9">
        <v>0.97219999999999995</v>
      </c>
    </row>
    <row r="10" spans="1:20" x14ac:dyDescent="0.25">
      <c r="A10">
        <v>9</v>
      </c>
      <c r="B10">
        <v>2.3999999999999998E-3</v>
      </c>
      <c r="C10">
        <v>0</v>
      </c>
      <c r="D10">
        <v>0.18490000000000001</v>
      </c>
      <c r="E10">
        <v>2.0045000000000002</v>
      </c>
      <c r="F10">
        <v>0.38429999999999997</v>
      </c>
      <c r="G10">
        <v>6.2899999999999998E-2</v>
      </c>
      <c r="H10">
        <v>4.2700000000000002E-2</v>
      </c>
      <c r="I10">
        <v>6.4399999999999999E-2</v>
      </c>
      <c r="J10">
        <v>4.6600000000000003E-2</v>
      </c>
      <c r="K10">
        <v>0.65329999999999999</v>
      </c>
      <c r="L10">
        <v>0.86670000000000003</v>
      </c>
      <c r="M10">
        <v>6.54E-2</v>
      </c>
      <c r="N10">
        <v>892</v>
      </c>
      <c r="O10">
        <v>187</v>
      </c>
      <c r="P10">
        <v>15.945399999999999</v>
      </c>
      <c r="Q10">
        <v>4.2700000000000002E-2</v>
      </c>
      <c r="R10">
        <v>1.3819999999999999</v>
      </c>
      <c r="S10">
        <v>0.72360000000000002</v>
      </c>
      <c r="T10">
        <v>0.96189999999999998</v>
      </c>
    </row>
    <row r="11" spans="1:20" x14ac:dyDescent="0.25">
      <c r="A11">
        <v>10</v>
      </c>
      <c r="B11">
        <v>1.6000000000000001E-3</v>
      </c>
      <c r="C11">
        <v>0</v>
      </c>
      <c r="D11">
        <v>0.15210000000000001</v>
      </c>
      <c r="E11">
        <v>0.44269999999999998</v>
      </c>
      <c r="F11">
        <v>0.41120000000000001</v>
      </c>
      <c r="G11">
        <v>5.3900000000000003E-2</v>
      </c>
      <c r="H11">
        <v>3.5999999999999997E-2</v>
      </c>
      <c r="I11">
        <v>5.5199999999999999E-2</v>
      </c>
      <c r="J11">
        <v>3.5900000000000001E-2</v>
      </c>
      <c r="K11">
        <v>11.715199999999999</v>
      </c>
      <c r="L11">
        <v>0.84450000000000003</v>
      </c>
      <c r="M11">
        <v>5.6800000000000003E-2</v>
      </c>
      <c r="N11">
        <v>197</v>
      </c>
      <c r="O11">
        <v>196</v>
      </c>
      <c r="P11">
        <v>18.434899999999999</v>
      </c>
      <c r="Q11">
        <v>3.5999999999999997E-2</v>
      </c>
      <c r="R11">
        <v>1.5404</v>
      </c>
      <c r="S11">
        <v>0.6492</v>
      </c>
      <c r="T11">
        <v>0.93899999999999995</v>
      </c>
    </row>
    <row r="12" spans="1:20" x14ac:dyDescent="0.25">
      <c r="A12">
        <v>11</v>
      </c>
      <c r="B12">
        <v>2.7000000000000001E-3</v>
      </c>
      <c r="C12">
        <v>0</v>
      </c>
      <c r="D12">
        <v>0.19520000000000001</v>
      </c>
      <c r="E12">
        <v>3.2831000000000001</v>
      </c>
      <c r="F12">
        <v>0.41570000000000001</v>
      </c>
      <c r="G12">
        <v>6.7400000000000002E-2</v>
      </c>
      <c r="H12">
        <v>4.2700000000000002E-2</v>
      </c>
      <c r="I12">
        <v>7.3200000000000001E-2</v>
      </c>
      <c r="J12">
        <v>4.6100000000000002E-2</v>
      </c>
      <c r="K12">
        <v>5.2065000000000001</v>
      </c>
      <c r="L12">
        <v>0.87419999999999998</v>
      </c>
      <c r="M12">
        <v>7.3499999999999996E-2</v>
      </c>
      <c r="N12">
        <v>1461</v>
      </c>
      <c r="O12">
        <v>202</v>
      </c>
      <c r="P12">
        <v>23.428699999999999</v>
      </c>
      <c r="Q12">
        <v>4.2700000000000002E-2</v>
      </c>
      <c r="R12">
        <v>1.5883</v>
      </c>
      <c r="S12">
        <v>0.62960000000000005</v>
      </c>
      <c r="T12">
        <v>0.98129999999999995</v>
      </c>
    </row>
    <row r="13" spans="1:20" x14ac:dyDescent="0.25">
      <c r="A13">
        <v>12</v>
      </c>
      <c r="B13">
        <v>3.8E-3</v>
      </c>
      <c r="C13">
        <v>0</v>
      </c>
      <c r="D13">
        <v>0.23880000000000001</v>
      </c>
      <c r="E13">
        <v>1.2652000000000001</v>
      </c>
      <c r="F13">
        <v>0.42920000000000003</v>
      </c>
      <c r="G13">
        <v>7.8700000000000006E-2</v>
      </c>
      <c r="H13">
        <v>5.3900000000000003E-2</v>
      </c>
      <c r="I13">
        <v>8.4699999999999998E-2</v>
      </c>
      <c r="J13">
        <v>5.7299999999999997E-2</v>
      </c>
      <c r="K13">
        <v>3.536</v>
      </c>
      <c r="L13">
        <v>0.83989999999999998</v>
      </c>
      <c r="M13">
        <v>8.6499999999999994E-2</v>
      </c>
      <c r="N13">
        <v>563</v>
      </c>
      <c r="O13">
        <v>211</v>
      </c>
      <c r="P13">
        <v>27.897300000000001</v>
      </c>
      <c r="Q13">
        <v>5.3900000000000003E-2</v>
      </c>
      <c r="R13">
        <v>1.4791000000000001</v>
      </c>
      <c r="S13">
        <v>0.67610000000000003</v>
      </c>
      <c r="T13">
        <v>0.96179999999999999</v>
      </c>
    </row>
    <row r="14" spans="1:20" x14ac:dyDescent="0.25">
      <c r="A14">
        <v>13</v>
      </c>
      <c r="B14">
        <v>4.0000000000000001E-3</v>
      </c>
      <c r="C14">
        <v>0</v>
      </c>
      <c r="D14">
        <v>0.2452</v>
      </c>
      <c r="E14">
        <v>2.7932999999999999</v>
      </c>
      <c r="F14">
        <v>0.436</v>
      </c>
      <c r="G14">
        <v>8.09E-2</v>
      </c>
      <c r="H14">
        <v>5.62E-2</v>
      </c>
      <c r="I14">
        <v>8.5900000000000004E-2</v>
      </c>
      <c r="J14">
        <v>0.06</v>
      </c>
      <c r="K14">
        <v>3.0522</v>
      </c>
      <c r="L14">
        <v>0.84650000000000003</v>
      </c>
      <c r="M14">
        <v>8.7499999999999994E-2</v>
      </c>
      <c r="N14">
        <v>1244</v>
      </c>
      <c r="O14">
        <v>215</v>
      </c>
      <c r="P14">
        <v>29.197500000000002</v>
      </c>
      <c r="Q14">
        <v>5.62E-2</v>
      </c>
      <c r="R14">
        <v>1.4320999999999999</v>
      </c>
      <c r="S14">
        <v>0.69830000000000003</v>
      </c>
      <c r="T14">
        <v>0.96340000000000003</v>
      </c>
    </row>
    <row r="15" spans="1:20" s="1" customFormat="1" x14ac:dyDescent="0.25">
      <c r="A15" s="1">
        <v>14</v>
      </c>
      <c r="B15" s="1">
        <v>8.0000000000000004E-4</v>
      </c>
      <c r="C15" s="1">
        <v>0</v>
      </c>
      <c r="D15" s="1">
        <v>0.15429999999999999</v>
      </c>
      <c r="E15" s="1">
        <v>1.2562</v>
      </c>
      <c r="F15" s="1">
        <v>0.49209999999999998</v>
      </c>
      <c r="G15" s="1">
        <v>4.2700000000000002E-2</v>
      </c>
      <c r="H15" s="1">
        <v>4.0399999999999998E-2</v>
      </c>
      <c r="I15" s="1">
        <v>3.4500000000000003E-2</v>
      </c>
      <c r="J15" s="1">
        <v>3.0300000000000001E-2</v>
      </c>
      <c r="K15" s="1">
        <v>31.801600000000001</v>
      </c>
      <c r="L15" s="1">
        <v>0.43440000000000001</v>
      </c>
      <c r="M15" s="1">
        <v>4.8099999999999997E-2</v>
      </c>
      <c r="N15" s="1">
        <v>561</v>
      </c>
      <c r="O15" s="1">
        <v>237</v>
      </c>
      <c r="P15" s="1">
        <v>52.5946</v>
      </c>
      <c r="Q15" s="1">
        <v>4.0099999999999997E-2</v>
      </c>
      <c r="R15" s="1">
        <v>1.1385000000000001</v>
      </c>
      <c r="S15" s="1">
        <v>0.87829999999999997</v>
      </c>
      <c r="T15" s="1">
        <v>0.65459999999999996</v>
      </c>
    </row>
    <row r="16" spans="1:20" s="1" customFormat="1" x14ac:dyDescent="0.25">
      <c r="A16" s="1">
        <v>15</v>
      </c>
      <c r="B16" s="1">
        <v>6.9999999999999999E-4</v>
      </c>
      <c r="C16" s="1">
        <v>0</v>
      </c>
      <c r="D16" s="1">
        <v>0.1066</v>
      </c>
      <c r="E16" s="1">
        <v>2.8315000000000001</v>
      </c>
      <c r="F16" s="1">
        <v>0.50109999999999999</v>
      </c>
      <c r="G16" s="1">
        <v>3.3700000000000001E-2</v>
      </c>
      <c r="H16" s="1">
        <v>2.92E-2</v>
      </c>
      <c r="I16" s="1">
        <v>3.4099999999999998E-2</v>
      </c>
      <c r="J16" s="1">
        <v>2.75E-2</v>
      </c>
      <c r="K16" s="1">
        <v>153.5162</v>
      </c>
      <c r="L16" s="1">
        <v>0.81469999999999998</v>
      </c>
      <c r="M16" s="1">
        <v>3.8699999999999998E-2</v>
      </c>
      <c r="N16" s="1">
        <v>1261</v>
      </c>
      <c r="O16" s="1">
        <v>226</v>
      </c>
      <c r="P16" s="1">
        <v>144.4623</v>
      </c>
      <c r="Q16" s="1">
        <v>2.9100000000000001E-2</v>
      </c>
      <c r="R16" s="1">
        <v>1.2375</v>
      </c>
      <c r="S16" s="1">
        <v>0.80810000000000004</v>
      </c>
      <c r="T16" s="1">
        <v>0.89849999999999997</v>
      </c>
    </row>
    <row r="17" spans="1:20" x14ac:dyDescent="0.25">
      <c r="A17">
        <v>16</v>
      </c>
      <c r="B17">
        <v>2.5999999999999999E-3</v>
      </c>
      <c r="C17">
        <v>0</v>
      </c>
      <c r="D17">
        <v>0.20100000000000001</v>
      </c>
      <c r="E17">
        <v>1.5798000000000001</v>
      </c>
      <c r="F17">
        <v>0.51690000000000003</v>
      </c>
      <c r="G17">
        <v>7.1900000000000006E-2</v>
      </c>
      <c r="H17">
        <v>4.0399999999999998E-2</v>
      </c>
      <c r="I17">
        <v>7.5899999999999995E-2</v>
      </c>
      <c r="J17">
        <v>4.3499999999999997E-2</v>
      </c>
      <c r="K17">
        <v>1.2816000000000001</v>
      </c>
      <c r="L17">
        <v>0.80720000000000003</v>
      </c>
      <c r="M17">
        <v>7.6399999999999996E-2</v>
      </c>
      <c r="N17">
        <v>703</v>
      </c>
      <c r="O17">
        <v>245</v>
      </c>
      <c r="P17">
        <v>24.304500000000001</v>
      </c>
      <c r="Q17">
        <v>4.0399999999999998E-2</v>
      </c>
      <c r="R17">
        <v>1.7436</v>
      </c>
      <c r="S17">
        <v>0.57350000000000001</v>
      </c>
      <c r="T17">
        <v>0.95899999999999996</v>
      </c>
    </row>
    <row r="18" spans="1:20" x14ac:dyDescent="0.25">
      <c r="A18">
        <v>17</v>
      </c>
      <c r="B18">
        <v>7.7000000000000002E-3</v>
      </c>
      <c r="C18">
        <v>0</v>
      </c>
      <c r="D18">
        <v>0.3362</v>
      </c>
      <c r="E18">
        <v>2.1101000000000001</v>
      </c>
      <c r="F18">
        <v>0.52810000000000001</v>
      </c>
      <c r="G18">
        <v>0.1056</v>
      </c>
      <c r="H18">
        <v>7.8700000000000006E-2</v>
      </c>
      <c r="I18">
        <v>0.1139</v>
      </c>
      <c r="J18">
        <v>8.5699999999999998E-2</v>
      </c>
      <c r="K18">
        <v>5.7365000000000004</v>
      </c>
      <c r="L18">
        <v>0.85240000000000005</v>
      </c>
      <c r="M18">
        <v>0.1203</v>
      </c>
      <c r="N18">
        <v>940</v>
      </c>
      <c r="O18">
        <v>268</v>
      </c>
      <c r="P18">
        <v>32.799500000000002</v>
      </c>
      <c r="Q18">
        <v>7.8700000000000006E-2</v>
      </c>
      <c r="R18">
        <v>1.3287</v>
      </c>
      <c r="S18">
        <v>0.75260000000000005</v>
      </c>
      <c r="T18">
        <v>0.97460000000000002</v>
      </c>
    </row>
    <row r="19" spans="1:20" x14ac:dyDescent="0.25">
      <c r="A19">
        <v>18</v>
      </c>
      <c r="B19">
        <v>1.9E-3</v>
      </c>
      <c r="C19">
        <v>0</v>
      </c>
      <c r="D19">
        <v>0.1656</v>
      </c>
      <c r="E19">
        <v>0.63819999999999999</v>
      </c>
      <c r="F19">
        <v>0.53480000000000005</v>
      </c>
      <c r="G19">
        <v>5.62E-2</v>
      </c>
      <c r="H19">
        <v>4.0399999999999998E-2</v>
      </c>
      <c r="I19">
        <v>5.8900000000000001E-2</v>
      </c>
      <c r="J19">
        <v>4.19E-2</v>
      </c>
      <c r="K19">
        <v>170.65479999999999</v>
      </c>
      <c r="L19">
        <v>0.88839999999999997</v>
      </c>
      <c r="M19">
        <v>6.1400000000000003E-2</v>
      </c>
      <c r="N19">
        <v>284</v>
      </c>
      <c r="O19">
        <v>241</v>
      </c>
      <c r="P19">
        <v>156.25049999999999</v>
      </c>
      <c r="Q19">
        <v>4.0399999999999998E-2</v>
      </c>
      <c r="R19">
        <v>1.4061999999999999</v>
      </c>
      <c r="S19">
        <v>0.71109999999999995</v>
      </c>
      <c r="T19">
        <v>0.96</v>
      </c>
    </row>
    <row r="20" spans="1:20" x14ac:dyDescent="0.25">
      <c r="A20">
        <v>19</v>
      </c>
      <c r="B20">
        <v>3.7000000000000002E-3</v>
      </c>
      <c r="C20">
        <v>0</v>
      </c>
      <c r="D20">
        <v>0.24329999999999999</v>
      </c>
      <c r="E20">
        <v>1.2090000000000001</v>
      </c>
      <c r="F20">
        <v>0.54610000000000003</v>
      </c>
      <c r="G20">
        <v>8.3099999999999993E-2</v>
      </c>
      <c r="H20">
        <v>4.7199999999999999E-2</v>
      </c>
      <c r="I20">
        <v>9.1600000000000001E-2</v>
      </c>
      <c r="J20">
        <v>5.0900000000000001E-2</v>
      </c>
      <c r="K20">
        <v>1.9722999999999999</v>
      </c>
      <c r="L20">
        <v>0.77700000000000002</v>
      </c>
      <c r="M20">
        <v>9.06E-2</v>
      </c>
      <c r="N20">
        <v>538</v>
      </c>
      <c r="O20">
        <v>260</v>
      </c>
      <c r="P20">
        <v>23.385200000000001</v>
      </c>
      <c r="Q20">
        <v>4.7199999999999999E-2</v>
      </c>
      <c r="R20">
        <v>1.8018000000000001</v>
      </c>
      <c r="S20">
        <v>0.55500000000000005</v>
      </c>
      <c r="T20">
        <v>0.96599999999999997</v>
      </c>
    </row>
    <row r="21" spans="1:20" x14ac:dyDescent="0.25">
      <c r="A21">
        <v>20</v>
      </c>
      <c r="B21">
        <v>2.2000000000000001E-3</v>
      </c>
      <c r="C21">
        <v>0</v>
      </c>
      <c r="D21">
        <v>0.1804</v>
      </c>
      <c r="E21">
        <v>1.5213000000000001</v>
      </c>
      <c r="F21">
        <v>0.57750000000000001</v>
      </c>
      <c r="G21">
        <v>5.3900000000000003E-2</v>
      </c>
      <c r="H21">
        <v>4.7199999999999999E-2</v>
      </c>
      <c r="I21">
        <v>5.5500000000000001E-2</v>
      </c>
      <c r="J21">
        <v>5.0999999999999997E-2</v>
      </c>
      <c r="K21">
        <v>7.5109000000000004</v>
      </c>
      <c r="L21">
        <v>0.85780000000000001</v>
      </c>
      <c r="M21">
        <v>6.2199999999999998E-2</v>
      </c>
      <c r="N21">
        <v>681</v>
      </c>
      <c r="O21">
        <v>278</v>
      </c>
      <c r="P21">
        <v>49.398699999999998</v>
      </c>
      <c r="Q21">
        <v>4.7199999999999999E-2</v>
      </c>
      <c r="R21">
        <v>1.0871999999999999</v>
      </c>
      <c r="S21">
        <v>0.91979999999999995</v>
      </c>
      <c r="T21">
        <v>0.95550000000000002</v>
      </c>
    </row>
    <row r="22" spans="1:20" x14ac:dyDescent="0.25">
      <c r="A22">
        <v>21</v>
      </c>
      <c r="B22">
        <v>8.9999999999999998E-4</v>
      </c>
      <c r="C22">
        <v>0</v>
      </c>
      <c r="D22">
        <v>0.113</v>
      </c>
      <c r="E22">
        <v>2.1124000000000001</v>
      </c>
      <c r="F22">
        <v>0.65620000000000001</v>
      </c>
      <c r="G22">
        <v>3.5999999999999997E-2</v>
      </c>
      <c r="H22">
        <v>3.3700000000000001E-2</v>
      </c>
      <c r="I22">
        <v>3.7699999999999997E-2</v>
      </c>
      <c r="J22">
        <v>3.0700000000000002E-2</v>
      </c>
      <c r="K22">
        <v>25.1175</v>
      </c>
      <c r="L22">
        <v>0.89459999999999995</v>
      </c>
      <c r="M22">
        <v>4.0500000000000001E-2</v>
      </c>
      <c r="N22">
        <v>941</v>
      </c>
      <c r="O22">
        <v>305</v>
      </c>
      <c r="P22">
        <v>33.690100000000001</v>
      </c>
      <c r="Q22">
        <v>3.2599999999999997E-2</v>
      </c>
      <c r="R22">
        <v>1.2250000000000001</v>
      </c>
      <c r="S22">
        <v>0.81630000000000003</v>
      </c>
      <c r="T22">
        <v>0.90910000000000002</v>
      </c>
    </row>
    <row r="23" spans="1:20" s="1" customFormat="1" x14ac:dyDescent="0.25">
      <c r="A23" s="1">
        <v>22</v>
      </c>
      <c r="B23" s="1">
        <v>1.1999999999999999E-3</v>
      </c>
      <c r="C23" s="1">
        <v>0</v>
      </c>
      <c r="D23" s="1">
        <v>0.15720000000000001</v>
      </c>
      <c r="E23" s="1">
        <v>2.9910000000000001</v>
      </c>
      <c r="F23" s="1">
        <v>0.70340000000000003</v>
      </c>
      <c r="G23" s="1">
        <v>4.9399999999999999E-2</v>
      </c>
      <c r="H23" s="1">
        <v>3.3700000000000001E-2</v>
      </c>
      <c r="I23" s="1">
        <v>5.0799999999999998E-2</v>
      </c>
      <c r="J23" s="1">
        <v>3.04E-2</v>
      </c>
      <c r="K23" s="1">
        <v>172.46469999999999</v>
      </c>
      <c r="L23" s="1">
        <v>0.61650000000000005</v>
      </c>
      <c r="M23" s="1">
        <v>5.1900000000000002E-2</v>
      </c>
      <c r="N23" s="1">
        <v>1331</v>
      </c>
      <c r="O23" s="1">
        <v>315</v>
      </c>
      <c r="P23" s="1">
        <v>162.34989999999999</v>
      </c>
      <c r="Q23" s="1">
        <v>3.3700000000000001E-2</v>
      </c>
      <c r="R23" s="1">
        <v>1.6712</v>
      </c>
      <c r="S23" s="1">
        <v>0.59840000000000004</v>
      </c>
      <c r="T23" s="1">
        <v>0.84960000000000002</v>
      </c>
    </row>
    <row r="24" spans="1:20" x14ac:dyDescent="0.25">
      <c r="A24">
        <v>23</v>
      </c>
      <c r="B24">
        <v>7.3000000000000001E-3</v>
      </c>
      <c r="C24">
        <v>0</v>
      </c>
      <c r="D24">
        <v>0.38350000000000001</v>
      </c>
      <c r="E24">
        <v>2.8426999999999998</v>
      </c>
      <c r="F24">
        <v>0.73260000000000003</v>
      </c>
      <c r="G24">
        <v>0.15509999999999999</v>
      </c>
      <c r="H24">
        <v>5.3900000000000003E-2</v>
      </c>
      <c r="I24">
        <v>0.16600000000000001</v>
      </c>
      <c r="J24">
        <v>5.6300000000000003E-2</v>
      </c>
      <c r="K24">
        <v>0.56479999999999997</v>
      </c>
      <c r="L24">
        <v>0.62729999999999997</v>
      </c>
      <c r="M24">
        <v>0.157</v>
      </c>
      <c r="N24">
        <v>1265</v>
      </c>
      <c r="O24">
        <v>345</v>
      </c>
      <c r="P24">
        <v>9.0579000000000001</v>
      </c>
      <c r="Q24">
        <v>5.3900000000000003E-2</v>
      </c>
      <c r="R24">
        <v>2.9479000000000002</v>
      </c>
      <c r="S24">
        <v>0.3392</v>
      </c>
      <c r="T24">
        <v>0.95720000000000005</v>
      </c>
    </row>
    <row r="25" spans="1:20" x14ac:dyDescent="0.25">
      <c r="A25">
        <v>24</v>
      </c>
      <c r="B25">
        <v>3.8E-3</v>
      </c>
      <c r="C25">
        <v>0</v>
      </c>
      <c r="D25">
        <v>0.25230000000000002</v>
      </c>
      <c r="E25">
        <v>1.5572999999999999</v>
      </c>
      <c r="F25">
        <v>0.95960000000000001</v>
      </c>
      <c r="G25">
        <v>9.2100000000000001E-2</v>
      </c>
      <c r="H25">
        <v>4.4900000000000002E-2</v>
      </c>
      <c r="I25">
        <v>0.10050000000000001</v>
      </c>
      <c r="J25">
        <v>4.7699999999999999E-2</v>
      </c>
      <c r="K25">
        <v>0.2397</v>
      </c>
      <c r="L25">
        <v>0.74360000000000004</v>
      </c>
      <c r="M25">
        <v>9.74E-2</v>
      </c>
      <c r="N25">
        <v>693</v>
      </c>
      <c r="O25">
        <v>446</v>
      </c>
      <c r="P25">
        <v>18.853200000000001</v>
      </c>
      <c r="Q25">
        <v>4.4900000000000002E-2</v>
      </c>
      <c r="R25">
        <v>2.1057000000000001</v>
      </c>
      <c r="S25">
        <v>0.47489999999999999</v>
      </c>
      <c r="T25">
        <v>0.96440000000000003</v>
      </c>
    </row>
    <row r="26" spans="1:20" x14ac:dyDescent="0.25">
      <c r="A26">
        <v>25</v>
      </c>
      <c r="B26">
        <v>2.8E-3</v>
      </c>
      <c r="C26">
        <v>0</v>
      </c>
      <c r="D26">
        <v>0.2082</v>
      </c>
      <c r="E26">
        <v>2.4493999999999998</v>
      </c>
      <c r="F26">
        <v>0.96850000000000003</v>
      </c>
      <c r="G26">
        <v>7.4200000000000002E-2</v>
      </c>
      <c r="H26">
        <v>4.0399999999999998E-2</v>
      </c>
      <c r="I26">
        <v>8.1699999999999995E-2</v>
      </c>
      <c r="J26">
        <v>4.3799999999999999E-2</v>
      </c>
      <c r="K26">
        <v>3.9384999999999999</v>
      </c>
      <c r="L26">
        <v>0.81430000000000002</v>
      </c>
      <c r="M26">
        <v>8.0600000000000005E-2</v>
      </c>
      <c r="N26">
        <v>1090</v>
      </c>
      <c r="O26">
        <v>447</v>
      </c>
      <c r="P26">
        <v>22.988700000000001</v>
      </c>
      <c r="Q26">
        <v>4.0399999999999998E-2</v>
      </c>
      <c r="R26">
        <v>1.8657999999999999</v>
      </c>
      <c r="S26">
        <v>0.53600000000000003</v>
      </c>
      <c r="T26">
        <v>0.97889999999999999</v>
      </c>
    </row>
    <row r="27" spans="1:20" x14ac:dyDescent="0.25">
      <c r="A27">
        <v>26</v>
      </c>
      <c r="B27">
        <v>2.5999999999999999E-3</v>
      </c>
      <c r="C27">
        <v>0</v>
      </c>
      <c r="D27">
        <v>0.2029</v>
      </c>
      <c r="E27">
        <v>2.2494000000000001</v>
      </c>
      <c r="F27">
        <v>1.0269999999999999</v>
      </c>
      <c r="G27">
        <v>7.1900000000000006E-2</v>
      </c>
      <c r="H27">
        <v>4.0399999999999998E-2</v>
      </c>
      <c r="I27">
        <v>7.6100000000000001E-2</v>
      </c>
      <c r="J27">
        <v>4.2999999999999997E-2</v>
      </c>
      <c r="K27">
        <v>179.626</v>
      </c>
      <c r="L27">
        <v>0.78469999999999995</v>
      </c>
      <c r="M27">
        <v>7.5999999999999998E-2</v>
      </c>
      <c r="N27">
        <v>1001</v>
      </c>
      <c r="O27">
        <v>459</v>
      </c>
      <c r="P27">
        <v>161.02959999999999</v>
      </c>
      <c r="Q27">
        <v>4.0399999999999998E-2</v>
      </c>
      <c r="R27">
        <v>1.7673000000000001</v>
      </c>
      <c r="S27">
        <v>0.56579999999999997</v>
      </c>
      <c r="T27">
        <v>0.94869999999999999</v>
      </c>
    </row>
    <row r="28" spans="1:20" x14ac:dyDescent="0.25">
      <c r="A28">
        <v>27</v>
      </c>
      <c r="B28">
        <v>5.8999999999999999E-3</v>
      </c>
      <c r="C28">
        <v>0</v>
      </c>
      <c r="D28">
        <v>0.2984</v>
      </c>
      <c r="E28">
        <v>1.7798</v>
      </c>
      <c r="F28">
        <v>1.0337000000000001</v>
      </c>
      <c r="G28">
        <v>9.8900000000000002E-2</v>
      </c>
      <c r="H28">
        <v>6.5199999999999994E-2</v>
      </c>
      <c r="I28">
        <v>0.1085</v>
      </c>
      <c r="J28">
        <v>6.9099999999999995E-2</v>
      </c>
      <c r="K28">
        <v>173.9247</v>
      </c>
      <c r="L28">
        <v>0.83120000000000005</v>
      </c>
      <c r="M28">
        <v>0.1087</v>
      </c>
      <c r="N28">
        <v>793</v>
      </c>
      <c r="O28">
        <v>462</v>
      </c>
      <c r="P28">
        <v>150.2551</v>
      </c>
      <c r="Q28">
        <v>6.5199999999999994E-2</v>
      </c>
      <c r="R28">
        <v>1.5711999999999999</v>
      </c>
      <c r="S28">
        <v>0.63649999999999995</v>
      </c>
      <c r="T28">
        <v>0.98109999999999997</v>
      </c>
    </row>
    <row r="29" spans="1:20" x14ac:dyDescent="0.25">
      <c r="A29">
        <v>28</v>
      </c>
      <c r="B29">
        <v>8.0000000000000004E-4</v>
      </c>
      <c r="C29">
        <v>0</v>
      </c>
      <c r="D29">
        <v>0.104</v>
      </c>
      <c r="E29">
        <v>1.2517</v>
      </c>
      <c r="F29">
        <v>1.1483000000000001</v>
      </c>
      <c r="G29">
        <v>3.3700000000000001E-2</v>
      </c>
      <c r="H29">
        <v>3.15E-2</v>
      </c>
      <c r="I29">
        <v>3.4200000000000001E-2</v>
      </c>
      <c r="J29">
        <v>3.0599999999999999E-2</v>
      </c>
      <c r="K29">
        <v>0.47049999999999997</v>
      </c>
      <c r="L29">
        <v>0.95620000000000005</v>
      </c>
      <c r="M29">
        <v>3.6299999999999999E-2</v>
      </c>
      <c r="N29">
        <v>557</v>
      </c>
      <c r="O29">
        <v>521</v>
      </c>
      <c r="P29">
        <v>21.801400000000001</v>
      </c>
      <c r="Q29">
        <v>3.15E-2</v>
      </c>
      <c r="R29">
        <v>1.1161000000000001</v>
      </c>
      <c r="S29">
        <v>0.89600000000000002</v>
      </c>
      <c r="T29">
        <v>0.92879999999999996</v>
      </c>
    </row>
    <row r="30" spans="1:20" x14ac:dyDescent="0.25">
      <c r="A30">
        <v>29</v>
      </c>
      <c r="B30">
        <v>5.4999999999999997E-3</v>
      </c>
      <c r="C30">
        <v>0</v>
      </c>
      <c r="D30">
        <v>0.2994</v>
      </c>
      <c r="E30">
        <v>2.0876000000000001</v>
      </c>
      <c r="F30">
        <v>1.1506000000000001</v>
      </c>
      <c r="G30">
        <v>0.1056</v>
      </c>
      <c r="H30">
        <v>6.0699999999999997E-2</v>
      </c>
      <c r="I30">
        <v>0.1132</v>
      </c>
      <c r="J30">
        <v>6.2399999999999997E-2</v>
      </c>
      <c r="K30">
        <v>5.1241000000000003</v>
      </c>
      <c r="L30">
        <v>0.77780000000000005</v>
      </c>
      <c r="M30">
        <v>0.1139</v>
      </c>
      <c r="N30">
        <v>929</v>
      </c>
      <c r="O30">
        <v>536</v>
      </c>
      <c r="P30">
        <v>22.011299999999999</v>
      </c>
      <c r="Q30">
        <v>6.0699999999999997E-2</v>
      </c>
      <c r="R30">
        <v>1.8121</v>
      </c>
      <c r="S30">
        <v>0.55179999999999996</v>
      </c>
      <c r="T30">
        <v>0.95109999999999995</v>
      </c>
    </row>
    <row r="31" spans="1:20" x14ac:dyDescent="0.25">
      <c r="A31">
        <v>30</v>
      </c>
      <c r="B31">
        <v>1.9E-3</v>
      </c>
      <c r="C31">
        <v>0</v>
      </c>
      <c r="D31">
        <v>0.16930000000000001</v>
      </c>
      <c r="E31">
        <v>2.9820000000000002</v>
      </c>
      <c r="F31">
        <v>1.1708000000000001</v>
      </c>
      <c r="G31">
        <v>5.8400000000000001E-2</v>
      </c>
      <c r="H31">
        <v>4.2700000000000002E-2</v>
      </c>
      <c r="I31">
        <v>6.08E-2</v>
      </c>
      <c r="J31">
        <v>3.9199999999999999E-2</v>
      </c>
      <c r="K31">
        <v>18.3629</v>
      </c>
      <c r="L31">
        <v>0.82099999999999995</v>
      </c>
      <c r="M31">
        <v>6.4399999999999999E-2</v>
      </c>
      <c r="N31">
        <v>1328</v>
      </c>
      <c r="O31">
        <v>538</v>
      </c>
      <c r="P31">
        <v>29.248799999999999</v>
      </c>
      <c r="Q31">
        <v>4.19E-2</v>
      </c>
      <c r="R31">
        <v>1.5501</v>
      </c>
      <c r="S31">
        <v>0.64510000000000001</v>
      </c>
      <c r="T31">
        <v>0.9345</v>
      </c>
    </row>
    <row r="32" spans="1:20" x14ac:dyDescent="0.25">
      <c r="A32">
        <v>31</v>
      </c>
      <c r="B32">
        <v>2.8E-3</v>
      </c>
      <c r="C32">
        <v>0</v>
      </c>
      <c r="D32">
        <v>0.20549999999999999</v>
      </c>
      <c r="E32">
        <v>0.31909999999999999</v>
      </c>
      <c r="F32">
        <v>1.173</v>
      </c>
      <c r="G32">
        <v>6.7400000000000002E-2</v>
      </c>
      <c r="H32">
        <v>4.4900000000000002E-2</v>
      </c>
      <c r="I32">
        <v>7.4099999999999999E-2</v>
      </c>
      <c r="J32">
        <v>4.8399999999999999E-2</v>
      </c>
      <c r="K32">
        <v>2.29E-2</v>
      </c>
      <c r="L32">
        <v>0.83830000000000005</v>
      </c>
      <c r="M32">
        <v>7.3599999999999999E-2</v>
      </c>
      <c r="N32">
        <v>143</v>
      </c>
      <c r="O32">
        <v>541</v>
      </c>
      <c r="P32">
        <v>31.2637</v>
      </c>
      <c r="Q32">
        <v>4.4900000000000002E-2</v>
      </c>
      <c r="R32">
        <v>1.5289999999999999</v>
      </c>
      <c r="S32">
        <v>0.65400000000000003</v>
      </c>
      <c r="T32">
        <v>0.96960000000000002</v>
      </c>
    </row>
    <row r="33" spans="1:20" x14ac:dyDescent="0.25">
      <c r="A33">
        <v>32</v>
      </c>
      <c r="B33">
        <v>3.5000000000000001E-3</v>
      </c>
      <c r="C33">
        <v>0</v>
      </c>
      <c r="D33">
        <v>0.2351</v>
      </c>
      <c r="E33">
        <v>0.91690000000000005</v>
      </c>
      <c r="F33">
        <v>1.1819999999999999</v>
      </c>
      <c r="G33">
        <v>8.5400000000000004E-2</v>
      </c>
      <c r="H33">
        <v>4.2700000000000002E-2</v>
      </c>
      <c r="I33">
        <v>9.4100000000000003E-2</v>
      </c>
      <c r="J33">
        <v>4.7199999999999999E-2</v>
      </c>
      <c r="K33">
        <v>0.89329999999999998</v>
      </c>
      <c r="L33">
        <v>0.79320000000000002</v>
      </c>
      <c r="M33">
        <v>9.0300000000000005E-2</v>
      </c>
      <c r="N33">
        <v>408</v>
      </c>
      <c r="O33">
        <v>542</v>
      </c>
      <c r="P33">
        <v>18.886099999999999</v>
      </c>
      <c r="Q33">
        <v>4.2700000000000002E-2</v>
      </c>
      <c r="R33">
        <v>1.9951000000000001</v>
      </c>
      <c r="S33">
        <v>0.50119999999999998</v>
      </c>
      <c r="T33">
        <v>0.98570000000000002</v>
      </c>
    </row>
    <row r="34" spans="1:20" s="1" customFormat="1" x14ac:dyDescent="0.25">
      <c r="A34" s="1">
        <v>33</v>
      </c>
      <c r="B34" s="1">
        <v>1E-3</v>
      </c>
      <c r="C34" s="1">
        <v>0</v>
      </c>
      <c r="D34" s="1">
        <v>0.14000000000000001</v>
      </c>
      <c r="E34" s="1">
        <v>0.84940000000000004</v>
      </c>
      <c r="F34" s="1">
        <v>1.1933</v>
      </c>
      <c r="G34" s="1">
        <v>5.1700000000000003E-2</v>
      </c>
      <c r="H34" s="1">
        <v>2.7E-2</v>
      </c>
      <c r="I34" s="1">
        <v>5.33E-2</v>
      </c>
      <c r="J34" s="1">
        <v>2.3900000000000001E-2</v>
      </c>
      <c r="K34" s="1">
        <v>7.6555</v>
      </c>
      <c r="L34" s="1">
        <v>0.64139999999999997</v>
      </c>
      <c r="M34" s="1">
        <v>5.5500000000000001E-2</v>
      </c>
      <c r="N34" s="1">
        <v>378</v>
      </c>
      <c r="O34" s="1">
        <v>541</v>
      </c>
      <c r="P34" s="1">
        <v>21.3706</v>
      </c>
      <c r="Q34" s="1">
        <v>2.5899999999999999E-2</v>
      </c>
      <c r="R34" s="1">
        <v>2.2277</v>
      </c>
      <c r="S34" s="1">
        <v>0.44890000000000002</v>
      </c>
      <c r="T34" s="1">
        <v>0.8498</v>
      </c>
    </row>
    <row r="35" spans="1:20" x14ac:dyDescent="0.25">
      <c r="A35">
        <v>34</v>
      </c>
      <c r="B35">
        <v>4.7999999999999996E-3</v>
      </c>
      <c r="C35">
        <v>0</v>
      </c>
      <c r="D35">
        <v>0.27250000000000002</v>
      </c>
      <c r="E35">
        <v>1.1326000000000001</v>
      </c>
      <c r="F35">
        <v>1.1933</v>
      </c>
      <c r="G35">
        <v>9.6600000000000005E-2</v>
      </c>
      <c r="H35">
        <v>5.62E-2</v>
      </c>
      <c r="I35">
        <v>0.1021</v>
      </c>
      <c r="J35">
        <v>5.96E-2</v>
      </c>
      <c r="K35">
        <v>2.8187000000000002</v>
      </c>
      <c r="L35">
        <v>0.80940000000000001</v>
      </c>
      <c r="M35">
        <v>9.9199999999999997E-2</v>
      </c>
      <c r="N35">
        <v>504</v>
      </c>
      <c r="O35">
        <v>548</v>
      </c>
      <c r="P35">
        <v>13.091900000000001</v>
      </c>
      <c r="Q35">
        <v>5.62E-2</v>
      </c>
      <c r="R35">
        <v>1.7117</v>
      </c>
      <c r="S35">
        <v>0.58420000000000005</v>
      </c>
      <c r="T35">
        <v>0.96579999999999999</v>
      </c>
    </row>
    <row r="36" spans="1:20" s="1" customFormat="1" x14ac:dyDescent="0.25">
      <c r="A36" s="1">
        <v>35</v>
      </c>
      <c r="B36" s="1">
        <v>8.0000000000000004E-4</v>
      </c>
      <c r="C36" s="1">
        <v>0</v>
      </c>
      <c r="D36" s="1">
        <v>0.1283</v>
      </c>
      <c r="E36" s="1">
        <v>0.86970000000000003</v>
      </c>
      <c r="F36" s="1">
        <v>1.2157</v>
      </c>
      <c r="G36" s="1">
        <v>4.4900000000000002E-2</v>
      </c>
      <c r="H36" s="1">
        <v>2.7E-2</v>
      </c>
      <c r="I36" s="1">
        <v>4.6600000000000003E-2</v>
      </c>
      <c r="J36" s="1">
        <v>2.2499999999999999E-2</v>
      </c>
      <c r="K36" s="1">
        <v>7.5004999999999997</v>
      </c>
      <c r="L36" s="1">
        <v>0.628</v>
      </c>
      <c r="M36" s="1">
        <v>4.6899999999999997E-2</v>
      </c>
      <c r="N36" s="1">
        <v>387</v>
      </c>
      <c r="O36" s="1">
        <v>552</v>
      </c>
      <c r="P36" s="1">
        <v>16.699200000000001</v>
      </c>
      <c r="Q36" s="1">
        <v>2.5100000000000001E-2</v>
      </c>
      <c r="R36" s="1">
        <v>2.0716000000000001</v>
      </c>
      <c r="S36" s="1">
        <v>0.48270000000000002</v>
      </c>
      <c r="T36" s="1">
        <v>0.83379999999999999</v>
      </c>
    </row>
    <row r="37" spans="1:20" x14ac:dyDescent="0.25">
      <c r="A37">
        <v>36</v>
      </c>
      <c r="B37">
        <v>2.0999999999999999E-3</v>
      </c>
      <c r="C37">
        <v>0</v>
      </c>
      <c r="D37">
        <v>0.1714</v>
      </c>
      <c r="E37">
        <v>0.29210000000000003</v>
      </c>
      <c r="F37">
        <v>1.218</v>
      </c>
      <c r="G37">
        <v>5.3900000000000003E-2</v>
      </c>
      <c r="H37">
        <v>4.4900000000000002E-2</v>
      </c>
      <c r="I37">
        <v>5.8299999999999998E-2</v>
      </c>
      <c r="J37">
        <v>4.65E-2</v>
      </c>
      <c r="K37">
        <v>11.3573</v>
      </c>
      <c r="L37">
        <v>0.9113</v>
      </c>
      <c r="M37">
        <v>6.1699999999999998E-2</v>
      </c>
      <c r="N37">
        <v>130</v>
      </c>
      <c r="O37">
        <v>559</v>
      </c>
      <c r="P37">
        <v>33.1113</v>
      </c>
      <c r="Q37">
        <v>4.4900000000000002E-2</v>
      </c>
      <c r="R37">
        <v>1.2531000000000001</v>
      </c>
      <c r="S37">
        <v>0.79800000000000004</v>
      </c>
      <c r="T37">
        <v>0.96020000000000005</v>
      </c>
    </row>
    <row r="38" spans="1:20" x14ac:dyDescent="0.25">
      <c r="A38">
        <v>37</v>
      </c>
      <c r="B38">
        <v>4.4000000000000003E-3</v>
      </c>
      <c r="C38">
        <v>0</v>
      </c>
      <c r="D38">
        <v>0.25600000000000001</v>
      </c>
      <c r="E38">
        <v>2.0089999999999999</v>
      </c>
      <c r="F38">
        <v>1.218</v>
      </c>
      <c r="G38">
        <v>8.9899999999999994E-2</v>
      </c>
      <c r="H38">
        <v>5.3900000000000003E-2</v>
      </c>
      <c r="I38">
        <v>9.7500000000000003E-2</v>
      </c>
      <c r="J38">
        <v>5.7299999999999997E-2</v>
      </c>
      <c r="K38">
        <v>4.6931000000000003</v>
      </c>
      <c r="L38">
        <v>0.84109999999999996</v>
      </c>
      <c r="M38">
        <v>9.5600000000000004E-2</v>
      </c>
      <c r="N38">
        <v>895</v>
      </c>
      <c r="O38">
        <v>563</v>
      </c>
      <c r="P38">
        <v>23.552299999999999</v>
      </c>
      <c r="Q38">
        <v>5.3900000000000003E-2</v>
      </c>
      <c r="R38">
        <v>1.7027000000000001</v>
      </c>
      <c r="S38">
        <v>0.58730000000000004</v>
      </c>
      <c r="T38">
        <v>0.9748</v>
      </c>
    </row>
    <row r="39" spans="1:20" x14ac:dyDescent="0.25">
      <c r="A39">
        <v>38</v>
      </c>
      <c r="B39">
        <v>2.8E-3</v>
      </c>
      <c r="C39">
        <v>0</v>
      </c>
      <c r="D39">
        <v>0.20369999999999999</v>
      </c>
      <c r="E39">
        <v>1.0022</v>
      </c>
      <c r="F39">
        <v>1.3010999999999999</v>
      </c>
      <c r="G39">
        <v>6.7400000000000002E-2</v>
      </c>
      <c r="H39">
        <v>4.4900000000000002E-2</v>
      </c>
      <c r="I39">
        <v>7.22E-2</v>
      </c>
      <c r="J39">
        <v>4.9000000000000002E-2</v>
      </c>
      <c r="K39">
        <v>5.3745000000000003</v>
      </c>
      <c r="L39">
        <v>0.84150000000000003</v>
      </c>
      <c r="M39">
        <v>7.6399999999999996E-2</v>
      </c>
      <c r="N39">
        <v>446</v>
      </c>
      <c r="O39">
        <v>597</v>
      </c>
      <c r="P39">
        <v>28.072500000000002</v>
      </c>
      <c r="Q39">
        <v>4.4900000000000002E-2</v>
      </c>
      <c r="R39">
        <v>1.4724999999999999</v>
      </c>
      <c r="S39">
        <v>0.67910000000000004</v>
      </c>
      <c r="T39">
        <v>0.97089999999999999</v>
      </c>
    </row>
    <row r="40" spans="1:20" x14ac:dyDescent="0.25">
      <c r="A40">
        <v>39</v>
      </c>
      <c r="B40">
        <v>2.5000000000000001E-3</v>
      </c>
      <c r="C40">
        <v>0</v>
      </c>
      <c r="D40">
        <v>0.1862</v>
      </c>
      <c r="E40">
        <v>0.31909999999999999</v>
      </c>
      <c r="F40">
        <v>1.3392999999999999</v>
      </c>
      <c r="G40">
        <v>6.0699999999999997E-2</v>
      </c>
      <c r="H40">
        <v>4.4900000000000002E-2</v>
      </c>
      <c r="I40">
        <v>6.6600000000000006E-2</v>
      </c>
      <c r="J40">
        <v>4.7E-2</v>
      </c>
      <c r="K40">
        <v>5.7222</v>
      </c>
      <c r="L40">
        <v>0.8911</v>
      </c>
      <c r="M40">
        <v>6.8599999999999994E-2</v>
      </c>
      <c r="N40">
        <v>142</v>
      </c>
      <c r="O40">
        <v>614</v>
      </c>
      <c r="P40">
        <v>31.607500000000002</v>
      </c>
      <c r="Q40">
        <v>4.4900000000000002E-2</v>
      </c>
      <c r="R40">
        <v>1.4148000000000001</v>
      </c>
      <c r="S40">
        <v>0.70679999999999998</v>
      </c>
      <c r="T40">
        <v>0.96719999999999995</v>
      </c>
    </row>
    <row r="41" spans="1:20" x14ac:dyDescent="0.25">
      <c r="A41">
        <v>40</v>
      </c>
      <c r="B41">
        <v>6.9999999999999999E-4</v>
      </c>
      <c r="C41">
        <v>0</v>
      </c>
      <c r="D41">
        <v>9.5000000000000001E-2</v>
      </c>
      <c r="E41">
        <v>0.76629999999999998</v>
      </c>
      <c r="F41">
        <v>1.3528</v>
      </c>
      <c r="G41">
        <v>3.5999999999999997E-2</v>
      </c>
      <c r="H41">
        <v>2.47E-2</v>
      </c>
      <c r="I41">
        <v>3.4799999999999998E-2</v>
      </c>
      <c r="J41">
        <v>2.4799999999999999E-2</v>
      </c>
      <c r="K41">
        <v>177.2174</v>
      </c>
      <c r="L41">
        <v>0.94179999999999997</v>
      </c>
      <c r="M41">
        <v>3.6600000000000001E-2</v>
      </c>
      <c r="N41">
        <v>341</v>
      </c>
      <c r="O41">
        <v>606</v>
      </c>
      <c r="P41">
        <v>169.38030000000001</v>
      </c>
      <c r="Q41">
        <v>2.47E-2</v>
      </c>
      <c r="R41">
        <v>1.4026000000000001</v>
      </c>
      <c r="S41">
        <v>0.71299999999999997</v>
      </c>
      <c r="T41">
        <v>0.92730000000000001</v>
      </c>
    </row>
    <row r="42" spans="1:20" x14ac:dyDescent="0.25">
      <c r="A42">
        <v>41</v>
      </c>
      <c r="B42">
        <v>3.0000000000000001E-3</v>
      </c>
      <c r="C42">
        <v>0</v>
      </c>
      <c r="D42">
        <v>0.23039999999999999</v>
      </c>
      <c r="E42">
        <v>1.1685000000000001</v>
      </c>
      <c r="F42">
        <v>1.4337</v>
      </c>
      <c r="G42">
        <v>8.09E-2</v>
      </c>
      <c r="H42">
        <v>4.0399999999999998E-2</v>
      </c>
      <c r="I42">
        <v>8.7800000000000003E-2</v>
      </c>
      <c r="J42">
        <v>4.41E-2</v>
      </c>
      <c r="K42">
        <v>0.88560000000000005</v>
      </c>
      <c r="L42">
        <v>0.71970000000000001</v>
      </c>
      <c r="M42">
        <v>8.5999999999999993E-2</v>
      </c>
      <c r="N42">
        <v>520</v>
      </c>
      <c r="O42">
        <v>652</v>
      </c>
      <c r="P42">
        <v>19.8552</v>
      </c>
      <c r="Q42">
        <v>4.0399999999999998E-2</v>
      </c>
      <c r="R42">
        <v>1.9902</v>
      </c>
      <c r="S42">
        <v>0.50249999999999995</v>
      </c>
      <c r="T42">
        <v>0.95779999999999998</v>
      </c>
    </row>
    <row r="43" spans="1:20" x14ac:dyDescent="0.25">
      <c r="A43">
        <v>42</v>
      </c>
      <c r="B43">
        <v>2.5000000000000001E-3</v>
      </c>
      <c r="C43">
        <v>0</v>
      </c>
      <c r="D43">
        <v>0.18990000000000001</v>
      </c>
      <c r="E43">
        <v>3.3700000000000001E-2</v>
      </c>
      <c r="F43">
        <v>1.4583999999999999</v>
      </c>
      <c r="G43">
        <v>6.0699999999999997E-2</v>
      </c>
      <c r="H43">
        <v>4.9399999999999999E-2</v>
      </c>
      <c r="I43">
        <v>6.4299999999999996E-2</v>
      </c>
      <c r="J43">
        <v>4.9299999999999997E-2</v>
      </c>
      <c r="K43">
        <v>20.5183</v>
      </c>
      <c r="L43">
        <v>0.86709999999999998</v>
      </c>
      <c r="M43">
        <v>6.9800000000000001E-2</v>
      </c>
      <c r="N43">
        <v>15</v>
      </c>
      <c r="O43">
        <v>668</v>
      </c>
      <c r="P43">
        <v>33.1785</v>
      </c>
      <c r="Q43">
        <v>4.9399999999999999E-2</v>
      </c>
      <c r="R43">
        <v>1.3023</v>
      </c>
      <c r="S43">
        <v>0.76790000000000003</v>
      </c>
      <c r="T43">
        <v>0.94630000000000003</v>
      </c>
    </row>
    <row r="44" spans="1:20" x14ac:dyDescent="0.25">
      <c r="A44">
        <v>43</v>
      </c>
      <c r="B44">
        <v>1.9E-3</v>
      </c>
      <c r="C44">
        <v>0</v>
      </c>
      <c r="D44">
        <v>0.16689999999999999</v>
      </c>
      <c r="E44">
        <v>1.4583999999999999</v>
      </c>
      <c r="F44">
        <v>1.5079</v>
      </c>
      <c r="G44">
        <v>5.62E-2</v>
      </c>
      <c r="H44">
        <v>4.0399999999999998E-2</v>
      </c>
      <c r="I44">
        <v>5.8999999999999997E-2</v>
      </c>
      <c r="J44">
        <v>4.0899999999999999E-2</v>
      </c>
      <c r="K44">
        <v>8.4494000000000007</v>
      </c>
      <c r="L44">
        <v>0.85399999999999998</v>
      </c>
      <c r="M44">
        <v>6.1400000000000003E-2</v>
      </c>
      <c r="N44">
        <v>649</v>
      </c>
      <c r="O44">
        <v>684</v>
      </c>
      <c r="P44">
        <v>23.749500000000001</v>
      </c>
      <c r="Q44">
        <v>4.0399999999999998E-2</v>
      </c>
      <c r="R44">
        <v>1.4433</v>
      </c>
      <c r="S44">
        <v>0.69279999999999997</v>
      </c>
      <c r="T44">
        <v>0.94940000000000002</v>
      </c>
    </row>
    <row r="45" spans="1:20" x14ac:dyDescent="0.25">
      <c r="A45">
        <v>44</v>
      </c>
      <c r="B45">
        <v>3.2000000000000002E-3</v>
      </c>
      <c r="C45">
        <v>0</v>
      </c>
      <c r="D45">
        <v>0.21690000000000001</v>
      </c>
      <c r="E45">
        <v>0.25619999999999998</v>
      </c>
      <c r="F45">
        <v>1.7213000000000001</v>
      </c>
      <c r="G45">
        <v>7.6399999999999996E-2</v>
      </c>
      <c r="H45">
        <v>4.7199999999999999E-2</v>
      </c>
      <c r="I45">
        <v>8.0799999999999997E-2</v>
      </c>
      <c r="J45">
        <v>4.9599999999999998E-2</v>
      </c>
      <c r="K45">
        <v>0.64039999999999997</v>
      </c>
      <c r="L45">
        <v>0.84160000000000001</v>
      </c>
      <c r="M45">
        <v>7.9000000000000001E-2</v>
      </c>
      <c r="N45">
        <v>114</v>
      </c>
      <c r="O45">
        <v>779</v>
      </c>
      <c r="P45">
        <v>14.826499999999999</v>
      </c>
      <c r="Q45">
        <v>4.7199999999999999E-2</v>
      </c>
      <c r="R45">
        <v>1.6275999999999999</v>
      </c>
      <c r="S45">
        <v>0.61439999999999995</v>
      </c>
      <c r="T45">
        <v>0.96299999999999997</v>
      </c>
    </row>
    <row r="46" spans="1:20" x14ac:dyDescent="0.25">
      <c r="A46">
        <v>45</v>
      </c>
      <c r="B46">
        <v>8.3999999999999995E-3</v>
      </c>
      <c r="C46">
        <v>0</v>
      </c>
      <c r="D46">
        <v>0.35580000000000001</v>
      </c>
      <c r="E46">
        <v>1.4831000000000001</v>
      </c>
      <c r="F46">
        <v>1.7302999999999999</v>
      </c>
      <c r="G46">
        <v>0.1258</v>
      </c>
      <c r="H46">
        <v>7.4200000000000002E-2</v>
      </c>
      <c r="I46">
        <v>0.13489999999999999</v>
      </c>
      <c r="J46">
        <v>7.9200000000000007E-2</v>
      </c>
      <c r="K46">
        <v>1.4532</v>
      </c>
      <c r="L46">
        <v>0.8327</v>
      </c>
      <c r="M46">
        <v>0.13220000000000001</v>
      </c>
      <c r="N46">
        <v>660</v>
      </c>
      <c r="O46">
        <v>795</v>
      </c>
      <c r="P46">
        <v>17.818899999999999</v>
      </c>
      <c r="Q46">
        <v>7.4200000000000002E-2</v>
      </c>
      <c r="R46">
        <v>1.7044999999999999</v>
      </c>
      <c r="S46">
        <v>0.5867</v>
      </c>
      <c r="T46">
        <v>0.97560000000000002</v>
      </c>
    </row>
    <row r="47" spans="1:20" x14ac:dyDescent="0.25">
      <c r="A47">
        <v>46</v>
      </c>
      <c r="B47">
        <v>2.5000000000000001E-3</v>
      </c>
      <c r="C47">
        <v>0</v>
      </c>
      <c r="D47">
        <v>0.1958</v>
      </c>
      <c r="E47">
        <v>3.0516999999999999</v>
      </c>
      <c r="F47">
        <v>1.7347999999999999</v>
      </c>
      <c r="G47">
        <v>6.9699999999999998E-2</v>
      </c>
      <c r="H47">
        <v>4.2700000000000002E-2</v>
      </c>
      <c r="I47">
        <v>7.3800000000000004E-2</v>
      </c>
      <c r="J47">
        <v>4.3400000000000001E-2</v>
      </c>
      <c r="K47">
        <v>179.2277</v>
      </c>
      <c r="L47">
        <v>0.82469999999999999</v>
      </c>
      <c r="M47">
        <v>7.1800000000000003E-2</v>
      </c>
      <c r="N47">
        <v>1358</v>
      </c>
      <c r="O47">
        <v>775</v>
      </c>
      <c r="P47">
        <v>159.86369999999999</v>
      </c>
      <c r="Q47">
        <v>4.2700000000000002E-2</v>
      </c>
      <c r="R47">
        <v>1.7028000000000001</v>
      </c>
      <c r="S47">
        <v>0.58730000000000004</v>
      </c>
      <c r="T47">
        <v>0.94410000000000005</v>
      </c>
    </row>
    <row r="48" spans="1:20" x14ac:dyDescent="0.25">
      <c r="A48">
        <v>47</v>
      </c>
      <c r="B48">
        <v>5.9999999999999995E-4</v>
      </c>
      <c r="C48">
        <v>0</v>
      </c>
      <c r="D48">
        <v>9.1300000000000006E-2</v>
      </c>
      <c r="E48">
        <v>0.2427</v>
      </c>
      <c r="F48">
        <v>1.7729999999999999</v>
      </c>
      <c r="G48">
        <v>3.15E-2</v>
      </c>
      <c r="H48">
        <v>2.47E-2</v>
      </c>
      <c r="I48">
        <v>3.3000000000000002E-2</v>
      </c>
      <c r="J48">
        <v>2.4899999999999999E-2</v>
      </c>
      <c r="K48">
        <v>174.8141</v>
      </c>
      <c r="L48">
        <v>0.97450000000000003</v>
      </c>
      <c r="M48">
        <v>3.4200000000000001E-2</v>
      </c>
      <c r="N48">
        <v>108</v>
      </c>
      <c r="O48">
        <v>792</v>
      </c>
      <c r="P48">
        <v>156.8014</v>
      </c>
      <c r="Q48">
        <v>2.47E-2</v>
      </c>
      <c r="R48">
        <v>1.3229</v>
      </c>
      <c r="S48">
        <v>0.75590000000000002</v>
      </c>
      <c r="T48">
        <v>0.94120000000000004</v>
      </c>
    </row>
    <row r="49" spans="1:20" x14ac:dyDescent="0.25">
      <c r="A49">
        <v>48</v>
      </c>
      <c r="B49">
        <v>4.1999999999999997E-3</v>
      </c>
      <c r="C49">
        <v>0</v>
      </c>
      <c r="D49">
        <v>0.25159999999999999</v>
      </c>
      <c r="E49">
        <v>3.1663000000000001</v>
      </c>
      <c r="F49">
        <v>1.8247</v>
      </c>
      <c r="G49">
        <v>8.7599999999999997E-2</v>
      </c>
      <c r="H49">
        <v>5.3900000000000003E-2</v>
      </c>
      <c r="I49">
        <v>9.35E-2</v>
      </c>
      <c r="J49">
        <v>5.7200000000000001E-2</v>
      </c>
      <c r="K49">
        <v>0.1477</v>
      </c>
      <c r="L49">
        <v>0.83440000000000003</v>
      </c>
      <c r="M49">
        <v>9.06E-2</v>
      </c>
      <c r="N49">
        <v>1410</v>
      </c>
      <c r="O49">
        <v>833</v>
      </c>
      <c r="P49">
        <v>23.385200000000001</v>
      </c>
      <c r="Q49">
        <v>5.3900000000000003E-2</v>
      </c>
      <c r="R49">
        <v>1.6348</v>
      </c>
      <c r="S49">
        <v>0.61170000000000002</v>
      </c>
      <c r="T49">
        <v>0.96350000000000002</v>
      </c>
    </row>
    <row r="50" spans="1:20" x14ac:dyDescent="0.25">
      <c r="A50">
        <v>49</v>
      </c>
      <c r="B50">
        <v>3.0999999999999999E-3</v>
      </c>
      <c r="C50">
        <v>0</v>
      </c>
      <c r="D50">
        <v>0.22989999999999999</v>
      </c>
      <c r="E50">
        <v>1.2808999999999999</v>
      </c>
      <c r="F50">
        <v>1.8516999999999999</v>
      </c>
      <c r="G50">
        <v>8.7599999999999997E-2</v>
      </c>
      <c r="H50">
        <v>3.8199999999999998E-2</v>
      </c>
      <c r="I50">
        <v>9.5500000000000002E-2</v>
      </c>
      <c r="J50">
        <v>4.07E-2</v>
      </c>
      <c r="K50">
        <v>1.2764</v>
      </c>
      <c r="L50">
        <v>0.72550000000000003</v>
      </c>
      <c r="M50">
        <v>8.9899999999999994E-2</v>
      </c>
      <c r="N50">
        <v>570</v>
      </c>
      <c r="O50">
        <v>839</v>
      </c>
      <c r="P50">
        <v>12.9946</v>
      </c>
      <c r="Q50">
        <v>3.8199999999999998E-2</v>
      </c>
      <c r="R50">
        <v>2.3489</v>
      </c>
      <c r="S50">
        <v>0.42570000000000002</v>
      </c>
      <c r="T50">
        <v>0.95340000000000003</v>
      </c>
    </row>
    <row r="51" spans="1:20" x14ac:dyDescent="0.25">
      <c r="A51">
        <v>50</v>
      </c>
      <c r="B51">
        <v>5.8999999999999999E-3</v>
      </c>
      <c r="C51">
        <v>0</v>
      </c>
      <c r="D51">
        <v>0.2918</v>
      </c>
      <c r="E51">
        <v>0.1079</v>
      </c>
      <c r="F51">
        <v>1.8898999999999999</v>
      </c>
      <c r="G51">
        <v>0.1011</v>
      </c>
      <c r="H51">
        <v>6.5199999999999994E-2</v>
      </c>
      <c r="I51">
        <v>0.10780000000000001</v>
      </c>
      <c r="J51">
        <v>6.9400000000000003E-2</v>
      </c>
      <c r="K51">
        <v>3.2406999999999999</v>
      </c>
      <c r="L51">
        <v>0.86760000000000004</v>
      </c>
      <c r="M51">
        <v>0.10680000000000001</v>
      </c>
      <c r="N51">
        <v>48</v>
      </c>
      <c r="O51">
        <v>862</v>
      </c>
      <c r="P51">
        <v>22.248999999999999</v>
      </c>
      <c r="Q51">
        <v>6.5199999999999994E-2</v>
      </c>
      <c r="R51">
        <v>1.552</v>
      </c>
      <c r="S51">
        <v>0.64429999999999998</v>
      </c>
      <c r="T51">
        <v>0.97529999999999994</v>
      </c>
    </row>
    <row r="52" spans="1:20" x14ac:dyDescent="0.25">
      <c r="A52">
        <v>51</v>
      </c>
      <c r="B52">
        <v>2.7000000000000001E-3</v>
      </c>
      <c r="C52">
        <v>0</v>
      </c>
      <c r="D52">
        <v>0.2021</v>
      </c>
      <c r="E52">
        <v>2.5640000000000001</v>
      </c>
      <c r="F52">
        <v>1.9146000000000001</v>
      </c>
      <c r="G52">
        <v>6.7400000000000002E-2</v>
      </c>
      <c r="H52">
        <v>4.4900000000000002E-2</v>
      </c>
      <c r="I52">
        <v>7.1999999999999995E-2</v>
      </c>
      <c r="J52">
        <v>4.8300000000000003E-2</v>
      </c>
      <c r="K52">
        <v>179.81960000000001</v>
      </c>
      <c r="L52">
        <v>0.84040000000000004</v>
      </c>
      <c r="M52">
        <v>7.1800000000000003E-2</v>
      </c>
      <c r="N52">
        <v>1141</v>
      </c>
      <c r="O52">
        <v>866</v>
      </c>
      <c r="P52">
        <v>20.136299999999999</v>
      </c>
      <c r="Q52">
        <v>4.4900000000000002E-2</v>
      </c>
      <c r="R52">
        <v>1.4918</v>
      </c>
      <c r="S52">
        <v>0.67030000000000001</v>
      </c>
      <c r="T52">
        <v>0.96609999999999996</v>
      </c>
    </row>
    <row r="53" spans="1:20" x14ac:dyDescent="0.25">
      <c r="A53">
        <v>52</v>
      </c>
      <c r="B53">
        <v>4.0000000000000001E-3</v>
      </c>
      <c r="C53">
        <v>0</v>
      </c>
      <c r="D53">
        <v>0.24629999999999999</v>
      </c>
      <c r="E53">
        <v>2.8786999999999998</v>
      </c>
      <c r="F53">
        <v>1.9213</v>
      </c>
      <c r="G53">
        <v>8.5400000000000004E-2</v>
      </c>
      <c r="H53">
        <v>5.3900000000000003E-2</v>
      </c>
      <c r="I53">
        <v>9.0800000000000006E-2</v>
      </c>
      <c r="J53">
        <v>5.5500000000000001E-2</v>
      </c>
      <c r="K53">
        <v>4.4390999999999998</v>
      </c>
      <c r="L53">
        <v>0.81920000000000004</v>
      </c>
      <c r="M53">
        <v>9.0399999999999994E-2</v>
      </c>
      <c r="N53">
        <v>1282</v>
      </c>
      <c r="O53">
        <v>876</v>
      </c>
      <c r="P53">
        <v>26.565100000000001</v>
      </c>
      <c r="Q53">
        <v>5.3499999999999999E-2</v>
      </c>
      <c r="R53">
        <v>1.6359999999999999</v>
      </c>
      <c r="S53">
        <v>0.61119999999999997</v>
      </c>
      <c r="T53">
        <v>0.95199999999999996</v>
      </c>
    </row>
    <row r="54" spans="1:20" x14ac:dyDescent="0.25">
      <c r="A54">
        <v>53</v>
      </c>
      <c r="B54">
        <v>1.6000000000000001E-3</v>
      </c>
      <c r="C54">
        <v>0</v>
      </c>
      <c r="D54">
        <v>0.1492</v>
      </c>
      <c r="E54">
        <v>1.4427000000000001</v>
      </c>
      <c r="F54">
        <v>1.9910000000000001</v>
      </c>
      <c r="G54">
        <v>4.7199999999999999E-2</v>
      </c>
      <c r="H54">
        <v>3.5999999999999997E-2</v>
      </c>
      <c r="I54">
        <v>5.1799999999999999E-2</v>
      </c>
      <c r="J54">
        <v>3.9E-2</v>
      </c>
      <c r="K54">
        <v>9.3942999999999994</v>
      </c>
      <c r="L54">
        <v>0.89539999999999997</v>
      </c>
      <c r="M54">
        <v>5.5500000000000001E-2</v>
      </c>
      <c r="N54">
        <v>642</v>
      </c>
      <c r="O54">
        <v>901</v>
      </c>
      <c r="P54">
        <v>31.759499999999999</v>
      </c>
      <c r="Q54">
        <v>3.5999999999999997E-2</v>
      </c>
      <c r="R54">
        <v>1.3304</v>
      </c>
      <c r="S54">
        <v>0.75160000000000005</v>
      </c>
      <c r="T54">
        <v>0.97819999999999996</v>
      </c>
    </row>
    <row r="55" spans="1:20" x14ac:dyDescent="0.25">
      <c r="A55">
        <v>54</v>
      </c>
      <c r="B55">
        <v>3.3E-3</v>
      </c>
      <c r="C55">
        <v>0</v>
      </c>
      <c r="D55">
        <v>0.2291</v>
      </c>
      <c r="E55">
        <v>1.9662999999999999</v>
      </c>
      <c r="F55">
        <v>2</v>
      </c>
      <c r="G55">
        <v>7.8700000000000006E-2</v>
      </c>
      <c r="H55">
        <v>4.7199999999999999E-2</v>
      </c>
      <c r="I55">
        <v>8.5000000000000006E-2</v>
      </c>
      <c r="J55">
        <v>4.9700000000000001E-2</v>
      </c>
      <c r="K55">
        <v>1.7899</v>
      </c>
      <c r="L55">
        <v>0.79449999999999998</v>
      </c>
      <c r="M55">
        <v>8.1799999999999998E-2</v>
      </c>
      <c r="N55">
        <v>875</v>
      </c>
      <c r="O55">
        <v>896</v>
      </c>
      <c r="P55">
        <v>164.05459999999999</v>
      </c>
      <c r="Q55">
        <v>4.7199999999999999E-2</v>
      </c>
      <c r="R55">
        <v>1.7109000000000001</v>
      </c>
      <c r="S55">
        <v>0.58450000000000002</v>
      </c>
      <c r="T55">
        <v>0.94810000000000005</v>
      </c>
    </row>
    <row r="56" spans="1:20" x14ac:dyDescent="0.25">
      <c r="A56">
        <v>55</v>
      </c>
      <c r="B56">
        <v>2.8999999999999998E-3</v>
      </c>
      <c r="C56">
        <v>0</v>
      </c>
      <c r="D56">
        <v>0.20369999999999999</v>
      </c>
      <c r="E56">
        <v>0.42470000000000002</v>
      </c>
      <c r="F56">
        <v>2.0270000000000001</v>
      </c>
      <c r="G56">
        <v>6.7400000000000002E-2</v>
      </c>
      <c r="H56">
        <v>4.4900000000000002E-2</v>
      </c>
      <c r="I56">
        <v>7.3599999999999999E-2</v>
      </c>
      <c r="J56">
        <v>4.9500000000000002E-2</v>
      </c>
      <c r="K56">
        <v>5.0240999999999998</v>
      </c>
      <c r="L56">
        <v>0.86599999999999999</v>
      </c>
      <c r="M56">
        <v>7.5499999999999998E-2</v>
      </c>
      <c r="N56">
        <v>189</v>
      </c>
      <c r="O56">
        <v>920</v>
      </c>
      <c r="P56">
        <v>30.379100000000001</v>
      </c>
      <c r="Q56">
        <v>4.4900000000000002E-2</v>
      </c>
      <c r="R56">
        <v>1.4866999999999999</v>
      </c>
      <c r="S56">
        <v>0.67259999999999998</v>
      </c>
      <c r="T56">
        <v>0.98260000000000003</v>
      </c>
    </row>
    <row r="57" spans="1:20" x14ac:dyDescent="0.25">
      <c r="A57">
        <v>56</v>
      </c>
      <c r="B57">
        <v>1.8E-3</v>
      </c>
      <c r="C57">
        <v>0</v>
      </c>
      <c r="D57">
        <v>0.16220000000000001</v>
      </c>
      <c r="E57">
        <v>2.7056</v>
      </c>
      <c r="F57">
        <v>2.0493999999999999</v>
      </c>
      <c r="G57">
        <v>5.62E-2</v>
      </c>
      <c r="H57">
        <v>4.2700000000000002E-2</v>
      </c>
      <c r="I57">
        <v>5.6000000000000001E-2</v>
      </c>
      <c r="J57">
        <v>4.1300000000000003E-2</v>
      </c>
      <c r="K57">
        <v>4.0533999999999999</v>
      </c>
      <c r="L57">
        <v>0.86819999999999997</v>
      </c>
      <c r="M57">
        <v>5.7799999999999997E-2</v>
      </c>
      <c r="N57">
        <v>1204</v>
      </c>
      <c r="O57">
        <v>922</v>
      </c>
      <c r="P57">
        <v>13.495699999999999</v>
      </c>
      <c r="Q57">
        <v>4.1700000000000001E-2</v>
      </c>
      <c r="R57">
        <v>1.3552</v>
      </c>
      <c r="S57">
        <v>0.7379</v>
      </c>
      <c r="T57">
        <v>0.9254</v>
      </c>
    </row>
    <row r="58" spans="1:20" x14ac:dyDescent="0.25">
      <c r="A58">
        <v>57</v>
      </c>
      <c r="B58">
        <v>1.2999999999999999E-3</v>
      </c>
      <c r="C58">
        <v>0</v>
      </c>
      <c r="D58">
        <v>0.15</v>
      </c>
      <c r="E58">
        <v>1.4719</v>
      </c>
      <c r="F58">
        <v>2.0516999999999999</v>
      </c>
      <c r="G58">
        <v>5.8400000000000001E-2</v>
      </c>
      <c r="H58">
        <v>3.15E-2</v>
      </c>
      <c r="I58">
        <v>5.7700000000000001E-2</v>
      </c>
      <c r="J58">
        <v>2.98E-2</v>
      </c>
      <c r="K58">
        <v>169.9195</v>
      </c>
      <c r="L58">
        <v>0.75260000000000005</v>
      </c>
      <c r="M58">
        <v>5.9499999999999997E-2</v>
      </c>
      <c r="N58">
        <v>655</v>
      </c>
      <c r="O58">
        <v>918</v>
      </c>
      <c r="P58">
        <v>169.11449999999999</v>
      </c>
      <c r="Q58">
        <v>3.15E-2</v>
      </c>
      <c r="R58">
        <v>1.9393</v>
      </c>
      <c r="S58">
        <v>0.51570000000000005</v>
      </c>
      <c r="T58">
        <v>0.90969999999999995</v>
      </c>
    </row>
    <row r="59" spans="1:20" x14ac:dyDescent="0.25">
      <c r="A59">
        <v>58</v>
      </c>
      <c r="B59">
        <v>3.0999999999999999E-3</v>
      </c>
      <c r="C59">
        <v>0</v>
      </c>
      <c r="D59">
        <v>0.2233</v>
      </c>
      <c r="E59">
        <v>3.1124000000000001</v>
      </c>
      <c r="F59">
        <v>2.0697000000000001</v>
      </c>
      <c r="G59">
        <v>7.6399999999999996E-2</v>
      </c>
      <c r="H59">
        <v>4.7199999999999999E-2</v>
      </c>
      <c r="I59">
        <v>8.2100000000000006E-2</v>
      </c>
      <c r="J59">
        <v>4.7800000000000002E-2</v>
      </c>
      <c r="K59">
        <v>2.5689000000000002</v>
      </c>
      <c r="L59">
        <v>0.77780000000000005</v>
      </c>
      <c r="M59">
        <v>7.9000000000000001E-2</v>
      </c>
      <c r="N59">
        <v>1385</v>
      </c>
      <c r="O59">
        <v>934</v>
      </c>
      <c r="P59">
        <v>14.826499999999999</v>
      </c>
      <c r="Q59">
        <v>4.6199999999999998E-2</v>
      </c>
      <c r="R59">
        <v>1.7172000000000001</v>
      </c>
      <c r="S59">
        <v>0.58230000000000004</v>
      </c>
      <c r="T59">
        <v>0.94140000000000001</v>
      </c>
    </row>
    <row r="60" spans="1:20" x14ac:dyDescent="0.25">
      <c r="A60">
        <v>59</v>
      </c>
      <c r="B60">
        <v>2.3999999999999998E-3</v>
      </c>
      <c r="C60">
        <v>0</v>
      </c>
      <c r="D60">
        <v>0.1913</v>
      </c>
      <c r="E60">
        <v>2.6516999999999999</v>
      </c>
      <c r="F60">
        <v>2.1932999999999998</v>
      </c>
      <c r="G60">
        <v>6.7400000000000002E-2</v>
      </c>
      <c r="H60">
        <v>4.2700000000000002E-2</v>
      </c>
      <c r="I60">
        <v>6.7900000000000002E-2</v>
      </c>
      <c r="J60">
        <v>4.41E-2</v>
      </c>
      <c r="K60">
        <v>6.4570999999999996</v>
      </c>
      <c r="L60">
        <v>0.80840000000000001</v>
      </c>
      <c r="M60">
        <v>6.9699999999999998E-2</v>
      </c>
      <c r="N60">
        <v>1180</v>
      </c>
      <c r="O60">
        <v>992</v>
      </c>
      <c r="P60">
        <v>20.772300000000001</v>
      </c>
      <c r="Q60">
        <v>4.2700000000000002E-2</v>
      </c>
      <c r="R60">
        <v>1.5396000000000001</v>
      </c>
      <c r="S60">
        <v>0.64949999999999997</v>
      </c>
      <c r="T60">
        <v>0.93289999999999995</v>
      </c>
    </row>
    <row r="61" spans="1:20" x14ac:dyDescent="0.25">
      <c r="A61">
        <v>60</v>
      </c>
      <c r="B61">
        <v>4.1000000000000003E-3</v>
      </c>
      <c r="C61">
        <v>0</v>
      </c>
      <c r="D61">
        <v>0.24840000000000001</v>
      </c>
      <c r="E61">
        <v>1.9169</v>
      </c>
      <c r="F61">
        <v>2.2157</v>
      </c>
      <c r="G61">
        <v>8.09E-2</v>
      </c>
      <c r="H61">
        <v>5.62E-2</v>
      </c>
      <c r="I61">
        <v>8.6300000000000002E-2</v>
      </c>
      <c r="J61">
        <v>6.0400000000000002E-2</v>
      </c>
      <c r="K61">
        <v>2.5097</v>
      </c>
      <c r="L61">
        <v>0.83320000000000005</v>
      </c>
      <c r="M61">
        <v>9.06E-2</v>
      </c>
      <c r="N61">
        <v>854</v>
      </c>
      <c r="O61">
        <v>1009</v>
      </c>
      <c r="P61">
        <v>29.744900000000001</v>
      </c>
      <c r="Q61">
        <v>5.62E-2</v>
      </c>
      <c r="R61">
        <v>1.4298</v>
      </c>
      <c r="S61">
        <v>0.69940000000000002</v>
      </c>
      <c r="T61">
        <v>0.95860000000000001</v>
      </c>
    </row>
    <row r="62" spans="1:20" x14ac:dyDescent="0.25">
      <c r="A62">
        <v>61</v>
      </c>
      <c r="B62">
        <v>2.8999999999999998E-3</v>
      </c>
      <c r="C62">
        <v>0</v>
      </c>
      <c r="D62">
        <v>0.2092</v>
      </c>
      <c r="E62">
        <v>3.1684999999999999</v>
      </c>
      <c r="F62">
        <v>2.2427000000000001</v>
      </c>
      <c r="G62">
        <v>7.1900000000000006E-2</v>
      </c>
      <c r="H62">
        <v>4.7199999999999999E-2</v>
      </c>
      <c r="I62">
        <v>7.6899999999999996E-2</v>
      </c>
      <c r="J62">
        <v>4.7600000000000003E-2</v>
      </c>
      <c r="K62">
        <v>12.697800000000001</v>
      </c>
      <c r="L62">
        <v>0.82469999999999999</v>
      </c>
      <c r="M62">
        <v>8.0600000000000005E-2</v>
      </c>
      <c r="N62">
        <v>1410</v>
      </c>
      <c r="O62">
        <v>1018</v>
      </c>
      <c r="P62">
        <v>30.141400000000001</v>
      </c>
      <c r="Q62">
        <v>4.6800000000000001E-2</v>
      </c>
      <c r="R62">
        <v>1.6168</v>
      </c>
      <c r="S62">
        <v>0.61850000000000005</v>
      </c>
      <c r="T62">
        <v>0.95709999999999995</v>
      </c>
    </row>
    <row r="63" spans="1:20" x14ac:dyDescent="0.25">
      <c r="A63">
        <v>62</v>
      </c>
      <c r="B63">
        <v>3.2000000000000002E-3</v>
      </c>
      <c r="C63">
        <v>0</v>
      </c>
      <c r="D63">
        <v>0.2341</v>
      </c>
      <c r="E63">
        <v>0.67869999999999997</v>
      </c>
      <c r="F63">
        <v>2.2517</v>
      </c>
      <c r="G63">
        <v>8.09E-2</v>
      </c>
      <c r="H63">
        <v>4.7199999999999999E-2</v>
      </c>
      <c r="I63">
        <v>8.6400000000000005E-2</v>
      </c>
      <c r="J63">
        <v>4.7399999999999998E-2</v>
      </c>
      <c r="K63">
        <v>6.4142999999999999</v>
      </c>
      <c r="L63">
        <v>0.73750000000000004</v>
      </c>
      <c r="M63">
        <v>8.6499999999999994E-2</v>
      </c>
      <c r="N63">
        <v>303</v>
      </c>
      <c r="O63">
        <v>1021</v>
      </c>
      <c r="P63">
        <v>24.5672</v>
      </c>
      <c r="Q63">
        <v>4.7E-2</v>
      </c>
      <c r="R63">
        <v>1.821</v>
      </c>
      <c r="S63">
        <v>0.54920000000000002</v>
      </c>
      <c r="T63">
        <v>0.94159999999999999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C757AAD9E74B95D089599FDD5DC0" ma:contentTypeVersion="16" ma:contentTypeDescription="Create a new document." ma:contentTypeScope="" ma:versionID="fef970704d0ca4df0f4f408baf9ea63b">
  <xsd:schema xmlns:xsd="http://www.w3.org/2001/XMLSchema" xmlns:xs="http://www.w3.org/2001/XMLSchema" xmlns:p="http://schemas.microsoft.com/office/2006/metadata/properties" xmlns:ns2="b8723e10-e6aa-459b-9526-3e95a54d97d0" xmlns:ns3="70881abf-187e-4973-aa0b-0f9dc352e983" targetNamespace="http://schemas.microsoft.com/office/2006/metadata/properties" ma:root="true" ma:fieldsID="fe80d7ddd6f8f55f62386e79176f2800" ns2:_="" ns3:_="">
    <xsd:import namespace="b8723e10-e6aa-459b-9526-3e95a54d97d0"/>
    <xsd:import namespace="70881abf-187e-4973-aa0b-0f9dc352e9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23e10-e6aa-459b-9526-3e95a54d97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a7f340-1746-4f21-8f07-321e96f672d3}" ma:internalName="TaxCatchAll" ma:showField="CatchAllData" ma:web="b8723e10-e6aa-459b-9526-3e95a54d9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1abf-187e-4973-aa0b-0f9dc352e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723e10-e6aa-459b-9526-3e95a54d97d0" xsi:nil="true"/>
    <lcf76f155ced4ddcb4097134ff3c332f xmlns="70881abf-187e-4973-aa0b-0f9dc352e9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3F5664-439F-462F-8771-47DA6D0ED4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5BD658-AE23-43CA-BAE0-71A1E130C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23e10-e6aa-459b-9526-3e95a54d97d0"/>
    <ds:schemaRef ds:uri="70881abf-187e-4973-aa0b-0f9dc352e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5B4F71-FAE8-4B21-8167-D8C504ABF908}">
  <ds:schemaRefs>
    <ds:schemaRef ds:uri="http://schemas.microsoft.com/office/2006/metadata/properties"/>
    <ds:schemaRef ds:uri="http://schemas.microsoft.com/office/infopath/2007/PartnerControls"/>
    <ds:schemaRef ds:uri="b8723e10-e6aa-459b-9526-3e95a54d97d0"/>
    <ds:schemaRef ds:uri="70881abf-187e-4973-aa0b-0f9dc352e9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FilteredGrainData_MBE3260303AMM</vt:lpstr>
      <vt:lpstr>RawGrainData_MBE3260303AMM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McDonough, Molly Rose</cp:lastModifiedBy>
  <dcterms:created xsi:type="dcterms:W3CDTF">2026-05-19T21:44:39Z</dcterms:created>
  <dcterms:modified xsi:type="dcterms:W3CDTF">2026-05-20T13:49:02Z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0x0101005623C757AAD9E74B95D089599FDD5DC0</vt:lpwstr>
  </property>
  <property fmtid="{D5CDD505-2E9C-101B-9397-08002B2CF9AE}" pid="3" name="MediaServiceImageTags">
    <vt:lpwstr/>
  </property>
</Properties>
</file>