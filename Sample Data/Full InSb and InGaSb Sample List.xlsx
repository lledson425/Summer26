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G:\My Drive\1. Projects\PhD\Research Projects\In(Ga)Sb-InAs QDs\"/>
    </mc:Choice>
  </mc:AlternateContent>
  <xr:revisionPtr revIDLastSave="0" documentId="13_ncr:1_{2D41CB1A-5C28-4790-9790-73FA3870214F}" xr6:coauthVersionLast="47" xr6:coauthVersionMax="47" xr10:uidLastSave="{00000000-0000-0000-0000-000000000000}"/>
  <bookViews>
    <workbookView xWindow="-28920" yWindow="-120" windowWidth="29040" windowHeight="15720" xr2:uid="{DE590EAB-8B78-4671-BA9D-8C2DFCCCB1C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5" i="1" l="1"/>
  <c r="M25" i="1"/>
  <c r="G25" i="1"/>
  <c r="J25" i="1"/>
  <c r="N24" i="1"/>
  <c r="M24" i="1"/>
  <c r="G24" i="1"/>
  <c r="J24" i="1"/>
  <c r="N23" i="1"/>
  <c r="M23" i="1"/>
  <c r="J23" i="1"/>
  <c r="G23" i="1"/>
  <c r="E23" i="1"/>
  <c r="N22" i="1"/>
  <c r="M22" i="1"/>
  <c r="J22" i="1"/>
  <c r="G22" i="1"/>
  <c r="I22" i="1"/>
  <c r="N21" i="1"/>
  <c r="I21" i="1"/>
  <c r="G21" i="1"/>
  <c r="J21" i="1"/>
  <c r="R21" i="1"/>
  <c r="N20" i="1"/>
  <c r="I20" i="1"/>
  <c r="S17" i="1"/>
  <c r="K3" i="1"/>
  <c r="K4" i="1"/>
  <c r="K5" i="1"/>
  <c r="K6" i="1"/>
  <c r="K7" i="1"/>
  <c r="K8" i="1"/>
  <c r="K9" i="1"/>
  <c r="K10" i="1"/>
  <c r="K11" i="1"/>
  <c r="K12" i="1"/>
  <c r="K2" i="1"/>
</calcChain>
</file>

<file path=xl/sharedStrings.xml><?xml version="1.0" encoding="utf-8"?>
<sst xmlns="http://schemas.openxmlformats.org/spreadsheetml/2006/main" count="203" uniqueCount="67">
  <si>
    <t>Sample ID</t>
  </si>
  <si>
    <t>Equivalent Thickness [ML]</t>
  </si>
  <si>
    <t>Target Composition</t>
  </si>
  <si>
    <t>Substrate Temperature [C]</t>
  </si>
  <si>
    <t>Indium Cell Base Temperature  [C]</t>
  </si>
  <si>
    <t>Indium Growth Rate [ML/s]</t>
  </si>
  <si>
    <t>Indium BEP [Torr]</t>
  </si>
  <si>
    <t>Gallium Cell Base Temperature [C]</t>
  </si>
  <si>
    <t>Gallium Growth Rate [ML/s]</t>
  </si>
  <si>
    <t>Gallium BEP [Torr]</t>
  </si>
  <si>
    <t>Total Growth Rate [ML/s]</t>
  </si>
  <si>
    <t>Antimony Valve Position [mil]</t>
  </si>
  <si>
    <t>Antimony BEP [Torr]</t>
  </si>
  <si>
    <t>Sb/III Ratio</t>
  </si>
  <si>
    <t>Ripening Time [s]</t>
  </si>
  <si>
    <t>Bismuth Surfactant</t>
  </si>
  <si>
    <t>Bi Cell Base Temperature [C]</t>
  </si>
  <si>
    <t>Bismuth BEP [Torr]</t>
  </si>
  <si>
    <t>Bismuth BEP/Group III BEP</t>
  </si>
  <si>
    <t>Target Sample ID from AI DOE</t>
  </si>
  <si>
    <t>MBE3-250619A-GG</t>
  </si>
  <si>
    <t>InSb</t>
  </si>
  <si>
    <t>-</t>
  </si>
  <si>
    <t>MBE3-250620A-GG</t>
  </si>
  <si>
    <t>MBE3-250701A-GG</t>
  </si>
  <si>
    <t>MBE3-250702A-GG</t>
  </si>
  <si>
    <t>MBE3-250703A-GG</t>
  </si>
  <si>
    <t>MBE3-250707A-GG</t>
  </si>
  <si>
    <t>MBE3-251113A-MM</t>
  </si>
  <si>
    <t>MBE3-251114A-MM</t>
  </si>
  <si>
    <t>MBE3-251114B-MM</t>
  </si>
  <si>
    <t>MBE3-251118A-MM</t>
  </si>
  <si>
    <t>MBE3-251118B-MM</t>
  </si>
  <si>
    <t>MBE3-251124A-MM</t>
  </si>
  <si>
    <t>In0.5Ga0.5Sb</t>
  </si>
  <si>
    <t>MBE3-260227B-MM</t>
  </si>
  <si>
    <t>In0.36Ga0.64Sb</t>
  </si>
  <si>
    <t>S09</t>
  </si>
  <si>
    <t>MBE3-260303A-MM</t>
  </si>
  <si>
    <t>In0.69Ga0.31Sb</t>
  </si>
  <si>
    <t>S14</t>
  </si>
  <si>
    <t>MBE3-260303B-MM</t>
  </si>
  <si>
    <t>In0.55Ga0.45Sb</t>
  </si>
  <si>
    <t>S15</t>
  </si>
  <si>
    <t>MBE3-260306A-MM</t>
  </si>
  <si>
    <t>In0.41Ga0.59Sb</t>
  </si>
  <si>
    <t>S11</t>
  </si>
  <si>
    <t>MBE3-260306B-MM</t>
  </si>
  <si>
    <t>In0.59Ga0.41Sb</t>
  </si>
  <si>
    <t>S17</t>
  </si>
  <si>
    <t>MBE3-250310B-MM</t>
  </si>
  <si>
    <t>In0.3Ga0.7Sb</t>
  </si>
  <si>
    <t>S08</t>
  </si>
  <si>
    <t>MBE3-260408A-MM </t>
  </si>
  <si>
    <t>In0.85Ga0.15Sb</t>
  </si>
  <si>
    <t>R3-2</t>
  </si>
  <si>
    <t>MBE3-260410A-MM </t>
  </si>
  <si>
    <t>R3-3</t>
  </si>
  <si>
    <t>MBE3-260410B-MM </t>
  </si>
  <si>
    <t>R3-1</t>
  </si>
  <si>
    <t>MBE3-260413A-MM</t>
  </si>
  <si>
    <t>R3-5</t>
  </si>
  <si>
    <t>MBE3-260413B-MM</t>
  </si>
  <si>
    <t>R3-4</t>
  </si>
  <si>
    <t>MBE3-260414A-MM </t>
  </si>
  <si>
    <t>In0.80Ga0.20Sb</t>
  </si>
  <si>
    <t>R3-6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</si>
</sst>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11" fontId="0" fillId="0" borderId="0" xfId="0" applyNumberFormat="1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9E4A2-E376-4225-8560-FC56D50BD612}">
  <dimension ref="A1:T25"/>
  <sheetViews>
    <sheetView tabSelected="1" workbookViewId="0">
      <selection activeCell="L28" sqref="L28"/>
    </sheetView>
  </sheetViews>
  <sheetFormatPr defaultRowHeight="15"/>
  <cols>
    <col min="1" max="1" width="20.42578125" style="1" customWidth="1"/>
    <col min="2" max="2" width="13" style="1" customWidth="1"/>
    <col min="3" max="3" width="18" style="1" customWidth="1"/>
    <col min="4" max="4" width="13.140625" style="1" customWidth="1"/>
    <col min="5" max="6" width="12.42578125" style="1" customWidth="1"/>
    <col min="7" max="7" width="11.5703125" style="1" bestFit="1" customWidth="1"/>
    <col min="8" max="8" width="12.140625" style="1" customWidth="1"/>
    <col min="9" max="12" width="9.140625" style="1"/>
    <col min="13" max="14" width="11.5703125" style="1" bestFit="1" customWidth="1"/>
    <col min="15" max="15" width="9.140625" style="1"/>
    <col min="16" max="16" width="10.7109375" style="1" customWidth="1"/>
    <col min="17" max="17" width="12.7109375" style="1" customWidth="1"/>
    <col min="18" max="18" width="9.140625" style="1"/>
    <col min="19" max="19" width="16.85546875" style="1" customWidth="1"/>
    <col min="20" max="16384" width="9.140625" style="1"/>
  </cols>
  <sheetData>
    <row r="1" spans="1:20" ht="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 t="s">
        <v>20</v>
      </c>
      <c r="B2" s="1">
        <v>2.5</v>
      </c>
      <c r="C2" s="1" t="s">
        <v>21</v>
      </c>
      <c r="D2" s="1">
        <v>400</v>
      </c>
      <c r="E2" s="1">
        <v>740</v>
      </c>
      <c r="F2" s="1">
        <v>0.1</v>
      </c>
      <c r="H2" s="1" t="s">
        <v>22</v>
      </c>
      <c r="I2" s="1" t="s">
        <v>22</v>
      </c>
      <c r="J2" s="1" t="s">
        <v>22</v>
      </c>
      <c r="K2" s="1">
        <f>F2</f>
        <v>0.1</v>
      </c>
      <c r="N2" s="1">
        <v>3.5</v>
      </c>
      <c r="O2" s="1" t="s">
        <v>22</v>
      </c>
      <c r="P2" s="1" t="s">
        <v>22</v>
      </c>
      <c r="R2" s="1" t="s">
        <v>22</v>
      </c>
      <c r="S2" s="1" t="s">
        <v>22</v>
      </c>
      <c r="T2" s="1" t="s">
        <v>22</v>
      </c>
    </row>
    <row r="3" spans="1:20">
      <c r="A3" s="1" t="s">
        <v>23</v>
      </c>
      <c r="B3" s="1">
        <v>2.5</v>
      </c>
      <c r="C3" s="1" t="s">
        <v>21</v>
      </c>
      <c r="D3" s="1">
        <v>400</v>
      </c>
      <c r="E3" s="1">
        <v>740</v>
      </c>
      <c r="F3" s="1">
        <v>0.1</v>
      </c>
      <c r="H3" s="1" t="s">
        <v>22</v>
      </c>
      <c r="I3" s="1" t="s">
        <v>22</v>
      </c>
      <c r="J3" s="1" t="s">
        <v>22</v>
      </c>
      <c r="K3" s="1">
        <f t="shared" ref="K3:K12" si="0">F3</f>
        <v>0.1</v>
      </c>
      <c r="N3" s="1">
        <v>3.5</v>
      </c>
      <c r="O3" s="1" t="s">
        <v>22</v>
      </c>
      <c r="P3" s="1" t="s">
        <v>22</v>
      </c>
      <c r="R3" s="1" t="s">
        <v>22</v>
      </c>
      <c r="S3" s="1" t="s">
        <v>22</v>
      </c>
      <c r="T3" s="1" t="s">
        <v>22</v>
      </c>
    </row>
    <row r="4" spans="1:20">
      <c r="A4" s="1" t="s">
        <v>24</v>
      </c>
      <c r="B4" s="1">
        <v>3</v>
      </c>
      <c r="C4" s="1" t="s">
        <v>21</v>
      </c>
      <c r="D4" s="1">
        <v>400</v>
      </c>
      <c r="E4" s="1">
        <v>740</v>
      </c>
      <c r="F4" s="1">
        <v>0.1</v>
      </c>
      <c r="H4" s="1" t="s">
        <v>22</v>
      </c>
      <c r="I4" s="1" t="s">
        <v>22</v>
      </c>
      <c r="J4" s="1" t="s">
        <v>22</v>
      </c>
      <c r="K4" s="1">
        <f t="shared" si="0"/>
        <v>0.1</v>
      </c>
      <c r="N4" s="1">
        <v>3.5</v>
      </c>
      <c r="O4" s="1" t="s">
        <v>22</v>
      </c>
      <c r="P4" s="1" t="s">
        <v>22</v>
      </c>
      <c r="R4" s="1" t="s">
        <v>22</v>
      </c>
      <c r="S4" s="1" t="s">
        <v>22</v>
      </c>
      <c r="T4" s="1" t="s">
        <v>22</v>
      </c>
    </row>
    <row r="5" spans="1:20">
      <c r="A5" s="1" t="s">
        <v>25</v>
      </c>
      <c r="B5" s="1">
        <v>2</v>
      </c>
      <c r="C5" s="1" t="s">
        <v>21</v>
      </c>
      <c r="D5" s="1">
        <v>400</v>
      </c>
      <c r="E5" s="1">
        <v>740</v>
      </c>
      <c r="F5" s="1">
        <v>0.1</v>
      </c>
      <c r="H5" s="1" t="s">
        <v>22</v>
      </c>
      <c r="I5" s="1" t="s">
        <v>22</v>
      </c>
      <c r="J5" s="1" t="s">
        <v>22</v>
      </c>
      <c r="K5" s="1">
        <f t="shared" si="0"/>
        <v>0.1</v>
      </c>
      <c r="N5" s="1">
        <v>3.5</v>
      </c>
      <c r="O5" s="1" t="s">
        <v>22</v>
      </c>
      <c r="P5" s="1" t="s">
        <v>22</v>
      </c>
      <c r="R5" s="1" t="s">
        <v>22</v>
      </c>
      <c r="S5" s="1" t="s">
        <v>22</v>
      </c>
      <c r="T5" s="1" t="s">
        <v>22</v>
      </c>
    </row>
    <row r="6" spans="1:20">
      <c r="A6" s="1" t="s">
        <v>26</v>
      </c>
      <c r="B6" s="1">
        <v>2</v>
      </c>
      <c r="C6" s="1" t="s">
        <v>21</v>
      </c>
      <c r="D6" s="1">
        <v>400</v>
      </c>
      <c r="E6" s="1">
        <v>740</v>
      </c>
      <c r="F6" s="1">
        <v>0.1</v>
      </c>
      <c r="H6" s="1" t="s">
        <v>22</v>
      </c>
      <c r="I6" s="1" t="s">
        <v>22</v>
      </c>
      <c r="J6" s="1" t="s">
        <v>22</v>
      </c>
      <c r="K6" s="1">
        <f t="shared" si="0"/>
        <v>0.1</v>
      </c>
      <c r="N6" s="1">
        <v>3.5</v>
      </c>
      <c r="O6" s="1" t="s">
        <v>22</v>
      </c>
      <c r="P6" s="1" t="s">
        <v>22</v>
      </c>
      <c r="R6" s="1" t="s">
        <v>22</v>
      </c>
      <c r="S6" s="1" t="s">
        <v>22</v>
      </c>
      <c r="T6" s="1" t="s">
        <v>22</v>
      </c>
    </row>
    <row r="7" spans="1:20">
      <c r="A7" s="1" t="s">
        <v>27</v>
      </c>
      <c r="B7" s="1">
        <v>3</v>
      </c>
      <c r="C7" s="1" t="s">
        <v>21</v>
      </c>
      <c r="D7" s="1">
        <v>400</v>
      </c>
      <c r="E7" s="1">
        <v>740</v>
      </c>
      <c r="F7" s="1">
        <v>0.1</v>
      </c>
      <c r="H7" s="1" t="s">
        <v>22</v>
      </c>
      <c r="I7" s="1" t="s">
        <v>22</v>
      </c>
      <c r="J7" s="1" t="s">
        <v>22</v>
      </c>
      <c r="K7" s="1">
        <f t="shared" si="0"/>
        <v>0.1</v>
      </c>
      <c r="N7" s="1">
        <v>3.5</v>
      </c>
      <c r="O7" s="1" t="s">
        <v>22</v>
      </c>
      <c r="P7" s="1" t="s">
        <v>22</v>
      </c>
      <c r="R7" s="1" t="s">
        <v>22</v>
      </c>
      <c r="S7" s="1" t="s">
        <v>22</v>
      </c>
      <c r="T7" s="1" t="s">
        <v>22</v>
      </c>
    </row>
    <row r="8" spans="1:20">
      <c r="A8" s="1" t="s">
        <v>28</v>
      </c>
      <c r="B8" s="1">
        <v>2.25</v>
      </c>
      <c r="C8" s="1" t="s">
        <v>21</v>
      </c>
      <c r="D8" s="1">
        <v>400</v>
      </c>
      <c r="E8" s="1">
        <v>740</v>
      </c>
      <c r="F8" s="1">
        <v>0.1</v>
      </c>
      <c r="H8" s="1" t="s">
        <v>22</v>
      </c>
      <c r="I8" s="1" t="s">
        <v>22</v>
      </c>
      <c r="J8" s="1" t="s">
        <v>22</v>
      </c>
      <c r="K8" s="1">
        <f t="shared" si="0"/>
        <v>0.1</v>
      </c>
      <c r="N8" s="1">
        <v>2.92</v>
      </c>
      <c r="O8" s="1" t="s">
        <v>22</v>
      </c>
      <c r="P8" s="1" t="s">
        <v>22</v>
      </c>
      <c r="R8" s="1" t="s">
        <v>22</v>
      </c>
      <c r="S8" s="1" t="s">
        <v>22</v>
      </c>
      <c r="T8" s="1" t="s">
        <v>22</v>
      </c>
    </row>
    <row r="9" spans="1:20">
      <c r="A9" s="1" t="s">
        <v>29</v>
      </c>
      <c r="B9" s="1">
        <v>2.25</v>
      </c>
      <c r="C9" s="1" t="s">
        <v>21</v>
      </c>
      <c r="D9" s="1">
        <v>425</v>
      </c>
      <c r="E9" s="1">
        <v>740</v>
      </c>
      <c r="F9" s="1">
        <v>0.1</v>
      </c>
      <c r="H9" s="1" t="s">
        <v>22</v>
      </c>
      <c r="I9" s="1" t="s">
        <v>22</v>
      </c>
      <c r="J9" s="1" t="s">
        <v>22</v>
      </c>
      <c r="K9" s="1">
        <f t="shared" si="0"/>
        <v>0.1</v>
      </c>
      <c r="N9" s="1">
        <v>2.92</v>
      </c>
      <c r="O9" s="1" t="s">
        <v>22</v>
      </c>
      <c r="P9" s="1" t="s">
        <v>22</v>
      </c>
      <c r="R9" s="1" t="s">
        <v>22</v>
      </c>
      <c r="S9" s="1" t="s">
        <v>22</v>
      </c>
      <c r="T9" s="1" t="s">
        <v>22</v>
      </c>
    </row>
    <row r="10" spans="1:20">
      <c r="A10" s="1" t="s">
        <v>30</v>
      </c>
      <c r="B10" s="1">
        <v>2.25</v>
      </c>
      <c r="C10" s="1" t="s">
        <v>21</v>
      </c>
      <c r="D10" s="1">
        <v>375</v>
      </c>
      <c r="E10" s="1">
        <v>740</v>
      </c>
      <c r="F10" s="1">
        <v>0.1</v>
      </c>
      <c r="H10" s="1" t="s">
        <v>22</v>
      </c>
      <c r="I10" s="1" t="s">
        <v>22</v>
      </c>
      <c r="J10" s="1" t="s">
        <v>22</v>
      </c>
      <c r="K10" s="1">
        <f t="shared" si="0"/>
        <v>0.1</v>
      </c>
      <c r="N10" s="1">
        <v>2.92</v>
      </c>
      <c r="O10" s="1" t="s">
        <v>22</v>
      </c>
      <c r="P10" s="1" t="s">
        <v>22</v>
      </c>
      <c r="R10" s="1" t="s">
        <v>22</v>
      </c>
      <c r="S10" s="1" t="s">
        <v>22</v>
      </c>
      <c r="T10" s="1" t="s">
        <v>22</v>
      </c>
    </row>
    <row r="11" spans="1:20">
      <c r="A11" s="1" t="s">
        <v>31</v>
      </c>
      <c r="B11" s="1">
        <v>2.25</v>
      </c>
      <c r="C11" s="1" t="s">
        <v>21</v>
      </c>
      <c r="D11" s="1">
        <v>450</v>
      </c>
      <c r="E11" s="1">
        <v>740</v>
      </c>
      <c r="F11" s="1">
        <v>0.1</v>
      </c>
      <c r="H11" s="1" t="s">
        <v>22</v>
      </c>
      <c r="I11" s="1" t="s">
        <v>22</v>
      </c>
      <c r="J11" s="1" t="s">
        <v>22</v>
      </c>
      <c r="K11" s="1">
        <f t="shared" si="0"/>
        <v>0.1</v>
      </c>
      <c r="N11" s="1">
        <v>2.92</v>
      </c>
      <c r="O11" s="1" t="s">
        <v>22</v>
      </c>
      <c r="P11" s="1" t="s">
        <v>22</v>
      </c>
      <c r="R11" s="1" t="s">
        <v>22</v>
      </c>
      <c r="S11" s="1" t="s">
        <v>22</v>
      </c>
      <c r="T11" s="1" t="s">
        <v>22</v>
      </c>
    </row>
    <row r="12" spans="1:20">
      <c r="A12" s="1" t="s">
        <v>32</v>
      </c>
      <c r="B12" s="1">
        <v>2.25</v>
      </c>
      <c r="C12" s="1" t="s">
        <v>21</v>
      </c>
      <c r="D12" s="1">
        <v>475</v>
      </c>
      <c r="E12" s="1">
        <v>740</v>
      </c>
      <c r="F12" s="1">
        <v>0.1</v>
      </c>
      <c r="H12" s="1" t="s">
        <v>22</v>
      </c>
      <c r="I12" s="1" t="s">
        <v>22</v>
      </c>
      <c r="J12" s="1" t="s">
        <v>22</v>
      </c>
      <c r="K12" s="1">
        <f t="shared" si="0"/>
        <v>0.1</v>
      </c>
      <c r="N12" s="1">
        <v>2.92</v>
      </c>
      <c r="O12" s="1" t="s">
        <v>22</v>
      </c>
      <c r="P12" s="1" t="s">
        <v>22</v>
      </c>
      <c r="R12" s="1" t="s">
        <v>22</v>
      </c>
      <c r="S12" s="1" t="s">
        <v>22</v>
      </c>
      <c r="T12" s="1" t="s">
        <v>22</v>
      </c>
    </row>
    <row r="13" spans="1:20">
      <c r="A13" s="1" t="s">
        <v>33</v>
      </c>
      <c r="B13" s="2">
        <v>2.25</v>
      </c>
      <c r="C13" s="2" t="s">
        <v>34</v>
      </c>
      <c r="D13" s="1">
        <v>425</v>
      </c>
      <c r="E13" s="1">
        <v>740</v>
      </c>
      <c r="F13" s="1">
        <v>0.1</v>
      </c>
      <c r="H13" s="1">
        <v>850</v>
      </c>
      <c r="I13" s="1">
        <v>0.1</v>
      </c>
      <c r="K13" s="1">
        <v>0.1</v>
      </c>
      <c r="N13" s="1">
        <v>2.65</v>
      </c>
      <c r="O13" s="1" t="s">
        <v>22</v>
      </c>
      <c r="P13" s="1" t="s">
        <v>22</v>
      </c>
      <c r="R13" s="1" t="s">
        <v>22</v>
      </c>
      <c r="S13" s="1" t="s">
        <v>22</v>
      </c>
      <c r="T13" s="1" t="s">
        <v>22</v>
      </c>
    </row>
    <row r="14" spans="1:20">
      <c r="A14" s="1" t="s">
        <v>35</v>
      </c>
      <c r="B14" s="1">
        <v>2.2799999999999998</v>
      </c>
      <c r="C14" s="1" t="s">
        <v>36</v>
      </c>
      <c r="D14" s="1">
        <v>376</v>
      </c>
      <c r="E14" s="1">
        <v>740</v>
      </c>
      <c r="F14" s="1">
        <v>0.1</v>
      </c>
      <c r="G14" s="1">
        <v>1.14E-7</v>
      </c>
      <c r="H14" s="1">
        <v>873</v>
      </c>
      <c r="I14" s="1">
        <v>0.17799999999999999</v>
      </c>
      <c r="J14" s="1">
        <v>2.0599999999999999E-8</v>
      </c>
      <c r="K14" s="1">
        <v>0.27800000000000002</v>
      </c>
      <c r="L14" s="1">
        <v>40</v>
      </c>
      <c r="M14" s="1">
        <v>5.5199999999999997E-7</v>
      </c>
      <c r="N14" s="3">
        <v>4.1010401188707277</v>
      </c>
      <c r="O14" s="1">
        <v>44</v>
      </c>
      <c r="P14" s="1">
        <v>0</v>
      </c>
      <c r="Q14" s="1" t="s">
        <v>22</v>
      </c>
      <c r="R14" s="1" t="s">
        <v>22</v>
      </c>
      <c r="S14" s="1" t="s">
        <v>22</v>
      </c>
      <c r="T14" s="1" t="s">
        <v>37</v>
      </c>
    </row>
    <row r="15" spans="1:20" ht="15" customHeight="1">
      <c r="A15" s="1" t="s">
        <v>38</v>
      </c>
      <c r="B15" s="1">
        <v>2.4500000000000002</v>
      </c>
      <c r="C15" s="1" t="s">
        <v>39</v>
      </c>
      <c r="D15" s="1">
        <v>393</v>
      </c>
      <c r="E15" s="1">
        <v>765</v>
      </c>
      <c r="F15" s="1">
        <v>0.17799999999999999</v>
      </c>
      <c r="G15" s="1">
        <v>2.05E-7</v>
      </c>
      <c r="H15" s="1">
        <v>840</v>
      </c>
      <c r="I15" s="1">
        <v>0.08</v>
      </c>
      <c r="J15" s="1">
        <v>8.2200000000000002E-9</v>
      </c>
      <c r="K15" s="1">
        <v>0.25800000000000001</v>
      </c>
      <c r="L15" s="1">
        <v>40</v>
      </c>
      <c r="M15" s="1">
        <v>5.5199999999999997E-7</v>
      </c>
      <c r="N15" s="3">
        <v>2.588875340024388</v>
      </c>
      <c r="O15" s="1">
        <v>112</v>
      </c>
      <c r="P15" s="1">
        <v>0</v>
      </c>
      <c r="Q15" s="1" t="s">
        <v>22</v>
      </c>
      <c r="R15" s="1" t="s">
        <v>22</v>
      </c>
      <c r="S15" s="1" t="s">
        <v>22</v>
      </c>
      <c r="T15" s="1" t="s">
        <v>40</v>
      </c>
    </row>
    <row r="16" spans="1:20">
      <c r="A16" s="1" t="s">
        <v>41</v>
      </c>
      <c r="B16" s="1">
        <v>3.81</v>
      </c>
      <c r="C16" s="1" t="s">
        <v>42</v>
      </c>
      <c r="D16" s="1">
        <v>401</v>
      </c>
      <c r="E16" s="1">
        <v>748</v>
      </c>
      <c r="F16" s="1">
        <v>0.12</v>
      </c>
      <c r="G16" s="1">
        <v>1.37E-7</v>
      </c>
      <c r="H16" s="1">
        <v>848</v>
      </c>
      <c r="I16" s="1">
        <v>9.8000000000000004E-2</v>
      </c>
      <c r="J16" s="1">
        <v>9.8199999999999996E-9</v>
      </c>
      <c r="K16" s="1">
        <v>0.218</v>
      </c>
      <c r="L16" s="1">
        <v>25</v>
      </c>
      <c r="M16" s="1">
        <v>2.91E-7</v>
      </c>
      <c r="N16" s="3">
        <v>1.9820187985288109</v>
      </c>
      <c r="O16" s="1">
        <v>58</v>
      </c>
      <c r="P16" s="1">
        <v>0</v>
      </c>
      <c r="Q16" s="1" t="s">
        <v>22</v>
      </c>
      <c r="R16" s="1" t="s">
        <v>22</v>
      </c>
      <c r="S16" s="1" t="s">
        <v>22</v>
      </c>
      <c r="T16" s="1" t="s">
        <v>43</v>
      </c>
    </row>
    <row r="17" spans="1:20">
      <c r="A17" s="1" t="s">
        <v>44</v>
      </c>
      <c r="B17" s="1">
        <v>2.89</v>
      </c>
      <c r="C17" s="1" t="s">
        <v>45</v>
      </c>
      <c r="D17" s="1">
        <v>410</v>
      </c>
      <c r="E17" s="1">
        <v>725</v>
      </c>
      <c r="F17" s="1">
        <v>6.9000000000000006E-2</v>
      </c>
      <c r="G17" s="1">
        <v>7.5600000000000002E-8</v>
      </c>
      <c r="H17" s="1">
        <v>849</v>
      </c>
      <c r="I17" s="1">
        <v>0.1</v>
      </c>
      <c r="J17" s="1">
        <v>1E-8</v>
      </c>
      <c r="K17" s="1">
        <v>0.16900000000000001</v>
      </c>
      <c r="L17" s="1">
        <v>40</v>
      </c>
      <c r="M17" s="1">
        <v>4.8100000000000003E-7</v>
      </c>
      <c r="N17" s="3">
        <v>5.6191588785046731</v>
      </c>
      <c r="O17" s="1">
        <v>15</v>
      </c>
      <c r="P17" s="1">
        <v>1</v>
      </c>
      <c r="Q17" s="1">
        <v>500</v>
      </c>
      <c r="R17" s="1">
        <v>5.28E-9</v>
      </c>
      <c r="S17" s="5">
        <f>R17/(J17+G17)</f>
        <v>6.1682242990654203E-2</v>
      </c>
      <c r="T17" s="1" t="s">
        <v>46</v>
      </c>
    </row>
    <row r="18" spans="1:20">
      <c r="A18" s="1" t="s">
        <v>47</v>
      </c>
      <c r="B18" s="1">
        <v>3.88</v>
      </c>
      <c r="C18" s="1" t="s">
        <v>48</v>
      </c>
      <c r="D18" s="1">
        <v>490</v>
      </c>
      <c r="E18" s="1">
        <v>762</v>
      </c>
      <c r="F18" s="1">
        <v>0.16700000000000001</v>
      </c>
      <c r="G18" s="1">
        <v>1.9299999999999999E-7</v>
      </c>
      <c r="H18" s="1">
        <v>855</v>
      </c>
      <c r="I18" s="1">
        <v>0.11600000000000001</v>
      </c>
      <c r="J18" s="1">
        <v>1.13E-8</v>
      </c>
      <c r="K18" s="1">
        <v>0.28299999999999997</v>
      </c>
      <c r="L18" s="1">
        <v>90</v>
      </c>
      <c r="M18" s="4">
        <v>1.02E-6</v>
      </c>
      <c r="N18" s="3">
        <v>4.9926578560939792</v>
      </c>
      <c r="O18" s="1">
        <v>106</v>
      </c>
      <c r="P18" s="1">
        <v>0</v>
      </c>
      <c r="Q18" s="1" t="s">
        <v>22</v>
      </c>
      <c r="R18" s="1" t="s">
        <v>22</v>
      </c>
      <c r="S18" s="1" t="s">
        <v>22</v>
      </c>
      <c r="T18" s="1" t="s">
        <v>49</v>
      </c>
    </row>
    <row r="19" spans="1:20">
      <c r="A19" s="1" t="s">
        <v>50</v>
      </c>
      <c r="B19" s="1">
        <v>1.71</v>
      </c>
      <c r="C19" s="1" t="s">
        <v>51</v>
      </c>
      <c r="D19" s="1">
        <v>390</v>
      </c>
      <c r="E19" s="1">
        <v>724</v>
      </c>
      <c r="F19" s="1">
        <v>6.8000000000000005E-2</v>
      </c>
      <c r="G19" s="1">
        <v>7.3199999999999994E-8</v>
      </c>
      <c r="H19" s="1">
        <v>868</v>
      </c>
      <c r="I19" s="1">
        <v>0.158</v>
      </c>
      <c r="J19" s="1">
        <v>1.4699999999999999E-8</v>
      </c>
      <c r="K19" s="1">
        <v>0.22600000000000001</v>
      </c>
      <c r="L19" s="1">
        <v>10</v>
      </c>
      <c r="M19" s="1">
        <v>1.6899999999999999E-7</v>
      </c>
      <c r="N19" s="3">
        <v>1.9226393629124006</v>
      </c>
      <c r="O19" s="1">
        <v>88</v>
      </c>
      <c r="P19" s="1">
        <v>0</v>
      </c>
      <c r="Q19" s="1" t="s">
        <v>22</v>
      </c>
      <c r="R19" s="1" t="s">
        <v>22</v>
      </c>
      <c r="S19" s="1" t="s">
        <v>22</v>
      </c>
      <c r="T19" s="1" t="s">
        <v>52</v>
      </c>
    </row>
    <row r="20" spans="1:20">
      <c r="A20" s="1" t="s">
        <v>53</v>
      </c>
      <c r="B20" s="1">
        <v>2.4500000000000002</v>
      </c>
      <c r="C20" s="1" t="s">
        <v>54</v>
      </c>
      <c r="D20" s="1">
        <v>393</v>
      </c>
      <c r="E20" s="1">
        <v>773</v>
      </c>
      <c r="F20" s="1">
        <v>0.219</v>
      </c>
      <c r="G20" s="4">
        <v>2.4900000000000002E-7</v>
      </c>
      <c r="H20" s="1">
        <v>810</v>
      </c>
      <c r="I20" s="1">
        <f>K20-F20</f>
        <v>3.9000000000000007E-2</v>
      </c>
      <c r="J20" s="4">
        <v>3.4999999999999999E-9</v>
      </c>
      <c r="K20" s="1">
        <v>0.25800000000000001</v>
      </c>
      <c r="L20" s="1">
        <v>40</v>
      </c>
      <c r="M20" s="4">
        <v>6.4899999999999995E-7</v>
      </c>
      <c r="N20" s="3">
        <f>M20/(G20+J20)</f>
        <v>2.5702970297029699</v>
      </c>
      <c r="O20" s="1">
        <v>112</v>
      </c>
      <c r="P20" s="1">
        <v>0</v>
      </c>
      <c r="Q20" s="1" t="s">
        <v>22</v>
      </c>
      <c r="R20" s="1" t="s">
        <v>22</v>
      </c>
      <c r="S20" s="1" t="s">
        <v>22</v>
      </c>
      <c r="T20" s="1" t="s">
        <v>55</v>
      </c>
    </row>
    <row r="21" spans="1:20">
      <c r="A21" s="1" t="s">
        <v>56</v>
      </c>
      <c r="B21" s="1">
        <v>2.4500000000000002</v>
      </c>
      <c r="C21" s="1" t="s">
        <v>39</v>
      </c>
      <c r="D21" s="1">
        <v>393</v>
      </c>
      <c r="E21" s="1">
        <v>765</v>
      </c>
      <c r="F21" s="1">
        <v>0.17799999999999999</v>
      </c>
      <c r="G21" s="1">
        <f>0.000000208</f>
        <v>2.0800000000000001E-7</v>
      </c>
      <c r="H21" s="1">
        <v>840</v>
      </c>
      <c r="I21" s="1">
        <f>K21-F21</f>
        <v>8.0000000000000016E-2</v>
      </c>
      <c r="J21" s="1">
        <f>0.00000000736</f>
        <v>7.3600000000000002E-9</v>
      </c>
      <c r="K21" s="1">
        <v>0.25800000000000001</v>
      </c>
      <c r="L21" s="1">
        <v>40</v>
      </c>
      <c r="M21" s="4">
        <v>6.7199999999999998E-7</v>
      </c>
      <c r="N21" s="3">
        <f>M21/(J21+G21)</f>
        <v>3.1203566121842492</v>
      </c>
      <c r="O21" s="1">
        <v>112</v>
      </c>
      <c r="P21" s="1">
        <v>1</v>
      </c>
      <c r="Q21" s="1">
        <v>500</v>
      </c>
      <c r="R21" s="1">
        <f>0.00000000572</f>
        <v>5.7200000000000001E-9</v>
      </c>
      <c r="T21" s="1" t="s">
        <v>57</v>
      </c>
    </row>
    <row r="22" spans="1:20">
      <c r="A22" s="1" t="s">
        <v>58</v>
      </c>
      <c r="B22" s="1">
        <v>2.4500000000000002</v>
      </c>
      <c r="C22" s="1" t="s">
        <v>39</v>
      </c>
      <c r="D22" s="1">
        <v>393</v>
      </c>
      <c r="E22" s="1">
        <v>765</v>
      </c>
      <c r="F22" s="1">
        <v>0.17799999999999999</v>
      </c>
      <c r="G22" s="1">
        <f>0.000000208</f>
        <v>2.0800000000000001E-7</v>
      </c>
      <c r="H22" s="1">
        <v>840</v>
      </c>
      <c r="I22" s="1">
        <f>K22-F22</f>
        <v>8.0000000000000016E-2</v>
      </c>
      <c r="J22" s="1">
        <f>0.00000000736</f>
        <v>7.3600000000000002E-9</v>
      </c>
      <c r="K22" s="1">
        <v>0.25800000000000001</v>
      </c>
      <c r="L22" s="1">
        <v>40</v>
      </c>
      <c r="M22" s="1">
        <f>0.000000672</f>
        <v>6.7199999999999998E-7</v>
      </c>
      <c r="N22" s="3">
        <f>M22/(J22+G22)</f>
        <v>3.1203566121842492</v>
      </c>
      <c r="O22" s="1">
        <v>112</v>
      </c>
      <c r="P22" s="1">
        <v>0</v>
      </c>
      <c r="Q22" s="1" t="s">
        <v>22</v>
      </c>
      <c r="R22" s="1" t="s">
        <v>22</v>
      </c>
      <c r="S22" s="1" t="s">
        <v>22</v>
      </c>
      <c r="T22" s="1" t="s">
        <v>59</v>
      </c>
    </row>
    <row r="23" spans="1:20">
      <c r="A23" s="1" t="s">
        <v>60</v>
      </c>
      <c r="B23" s="1">
        <v>2.4500000000000002</v>
      </c>
      <c r="C23" s="1" t="s">
        <v>39</v>
      </c>
      <c r="D23" s="1">
        <v>420</v>
      </c>
      <c r="E23" s="1">
        <f>765</f>
        <v>765</v>
      </c>
      <c r="F23" s="1">
        <v>0.17799999999999999</v>
      </c>
      <c r="G23" s="4">
        <f>0.00000022</f>
        <v>2.2000000000000001E-7</v>
      </c>
      <c r="H23" s="1">
        <v>840</v>
      </c>
      <c r="I23" s="1">
        <v>0.08</v>
      </c>
      <c r="J23" s="4">
        <f>0.0000000075</f>
        <v>7.4999999999999993E-9</v>
      </c>
      <c r="K23" s="1">
        <v>0.25800000000000001</v>
      </c>
      <c r="L23" s="1">
        <v>40</v>
      </c>
      <c r="M23" s="1">
        <f>0.000000661</f>
        <v>6.61E-7</v>
      </c>
      <c r="N23" s="3">
        <f>M23/(J23+G23)</f>
        <v>2.9054945054945054</v>
      </c>
      <c r="O23" s="1">
        <v>112</v>
      </c>
      <c r="P23" s="1">
        <v>0</v>
      </c>
      <c r="Q23" s="1" t="s">
        <v>22</v>
      </c>
      <c r="R23" s="1" t="s">
        <v>22</v>
      </c>
      <c r="S23" s="1" t="s">
        <v>22</v>
      </c>
      <c r="T23" s="1" t="s">
        <v>61</v>
      </c>
    </row>
    <row r="24" spans="1:20">
      <c r="A24" s="1" t="s">
        <v>62</v>
      </c>
      <c r="B24" s="1">
        <v>2.4500000000000002</v>
      </c>
      <c r="C24" s="1" t="s">
        <v>42</v>
      </c>
      <c r="D24" s="1">
        <v>393</v>
      </c>
      <c r="E24" s="1">
        <v>755</v>
      </c>
      <c r="F24" s="1">
        <v>0.14199999999999999</v>
      </c>
      <c r="G24" s="1">
        <f>0.000000177</f>
        <v>1.7700000000000001E-7</v>
      </c>
      <c r="H24" s="1">
        <v>855</v>
      </c>
      <c r="I24" s="1">
        <v>0.11600000000000001</v>
      </c>
      <c r="J24" s="1">
        <f>0.0000000119</f>
        <v>1.1900000000000001E-8</v>
      </c>
      <c r="K24" s="1">
        <v>0.25800000000000001</v>
      </c>
      <c r="L24" s="1">
        <v>35</v>
      </c>
      <c r="M24" s="1">
        <f>0.000000504</f>
        <v>5.0399999999999996E-7</v>
      </c>
      <c r="N24" s="3">
        <f>M24/(J24+G24)</f>
        <v>2.6680783483324508</v>
      </c>
      <c r="O24" s="1">
        <v>112</v>
      </c>
      <c r="P24" s="1">
        <v>0</v>
      </c>
      <c r="Q24" s="1" t="s">
        <v>22</v>
      </c>
      <c r="R24" s="1" t="s">
        <v>22</v>
      </c>
      <c r="S24" s="1" t="s">
        <v>22</v>
      </c>
      <c r="T24" s="1" t="s">
        <v>63</v>
      </c>
    </row>
    <row r="25" spans="1:20">
      <c r="A25" s="1" t="s">
        <v>64</v>
      </c>
      <c r="B25" s="1">
        <v>2.4500000000000002</v>
      </c>
      <c r="C25" s="1" t="s">
        <v>65</v>
      </c>
      <c r="D25" s="1">
        <v>380</v>
      </c>
      <c r="E25" s="1">
        <v>771</v>
      </c>
      <c r="F25" s="1">
        <v>0.20599999999999999</v>
      </c>
      <c r="G25" s="1">
        <f>0.000000247</f>
        <v>2.4699999999999998E-7</v>
      </c>
      <c r="H25" s="1">
        <v>823</v>
      </c>
      <c r="I25" s="1">
        <v>5.1999999999999998E-2</v>
      </c>
      <c r="J25" s="1">
        <f>0.00000000512</f>
        <v>5.1199999999999997E-9</v>
      </c>
      <c r="K25" s="1">
        <v>0.25800000000000001</v>
      </c>
      <c r="L25" s="1">
        <v>40</v>
      </c>
      <c r="M25" s="4">
        <f>0.00000061</f>
        <v>6.0999999999999998E-7</v>
      </c>
      <c r="N25" s="3">
        <f>M25/(J25+G25)</f>
        <v>2.419482785974933</v>
      </c>
      <c r="O25" s="1">
        <v>112</v>
      </c>
      <c r="P25" s="1">
        <v>0</v>
      </c>
      <c r="Q25" s="1" t="s">
        <v>22</v>
      </c>
      <c r="R25" s="1" t="s">
        <v>22</v>
      </c>
      <c r="S25" s="1" t="s">
        <v>22</v>
      </c>
      <c r="T25" s="1" t="s">
        <v>66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8723e10-e6aa-459b-9526-3e95a54d97d0" xsi:nil="true"/>
    <lcf76f155ced4ddcb4097134ff3c332f xmlns="70881abf-187e-4973-aa0b-0f9dc352e98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23C757AAD9E74B95D089599FDD5DC0" ma:contentTypeVersion="16" ma:contentTypeDescription="Create a new document." ma:contentTypeScope="" ma:versionID="fef970704d0ca4df0f4f408baf9ea63b">
  <xsd:schema xmlns:xsd="http://www.w3.org/2001/XMLSchema" xmlns:xs="http://www.w3.org/2001/XMLSchema" xmlns:p="http://schemas.microsoft.com/office/2006/metadata/properties" xmlns:ns2="b8723e10-e6aa-459b-9526-3e95a54d97d0" xmlns:ns3="70881abf-187e-4973-aa0b-0f9dc352e983" targetNamespace="http://schemas.microsoft.com/office/2006/metadata/properties" ma:root="true" ma:fieldsID="fe80d7ddd6f8f55f62386e79176f2800" ns2:_="" ns3:_="">
    <xsd:import namespace="b8723e10-e6aa-459b-9526-3e95a54d97d0"/>
    <xsd:import namespace="70881abf-187e-4973-aa0b-0f9dc352e98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SearchProperties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723e10-e6aa-459b-9526-3e95a54d97d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7a7f340-1746-4f21-8f07-321e96f672d3}" ma:internalName="TaxCatchAll" ma:showField="CatchAllData" ma:web="b8723e10-e6aa-459b-9526-3e95a54d97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81abf-187e-4973-aa0b-0f9dc352e9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0002CB-A39B-4AAF-9716-BAD0F084C4B5}"/>
</file>

<file path=customXml/itemProps2.xml><?xml version="1.0" encoding="utf-8"?>
<ds:datastoreItem xmlns:ds="http://schemas.openxmlformats.org/officeDocument/2006/customXml" ds:itemID="{D7202836-EF24-4D4C-8F42-548982B7A309}"/>
</file>

<file path=customXml/itemProps3.xml><?xml version="1.0" encoding="utf-8"?>
<ds:datastoreItem xmlns:ds="http://schemas.openxmlformats.org/officeDocument/2006/customXml" ds:itemID="{40E15B5E-E052-4FA3-BE5B-029B3FBD2F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McDonough, Molly Rose</dc:creator>
  <cp:keywords/>
  <dc:description/>
  <cp:lastModifiedBy>Edson, Liam Luke</cp:lastModifiedBy>
  <cp:revision/>
  <dcterms:created xsi:type="dcterms:W3CDTF">2026-04-21T00:55:50Z</dcterms:created>
  <dcterms:modified xsi:type="dcterms:W3CDTF">2026-05-29T18:23:14Z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0x0101005623C757AAD9E74B95D089599FDD5DC0</vt:lpwstr>
  </property>
  <property fmtid="{D5CDD505-2E9C-101B-9397-08002B2CF9AE}" pid="3" name="MediaServiceImageTags">
    <vt:lpwstr/>
  </property>
</Properties>
</file>